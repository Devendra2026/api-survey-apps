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rvey Data" sheetId="1" state="visible" r:id="rId1"/>
    <sheet name="Validation Lists" sheetId="2" state="hidden" r:id="rId2"/>
    <sheet name="Survey Progress" sheetId="3" state="visible" r:id="rId3"/>
    <sheet name="Actions" sheetId="4" state="visible" r:id="rId4"/>
    <sheet name="Field Guide" sheetId="5" state="visible" r:id="rId5"/>
    <sheet name="Floor Details" sheetId="6" state="visible" r:id="rId6"/>
    <sheet name="README" sheetId="7" state="visible" r:id="rId7"/>
  </sheets>
  <definedNames>
    <definedName name="StatusOptions">'Validation Lists'!$A$3:$A$6</definedName>
    <definedName name="AssessmentYearOptions">'Validation Lists'!$B$3:$B$5</definedName>
    <definedName name="SlumOptions">'Validation Lists'!$C$3:$C$4</definedName>
    <definedName name="RelationshipOptions">'Validation Lists'!$D$3:$D$14</definedName>
    <definedName name="TaxRateZoneOptions">'Validation Lists'!$E$3:$E$6</definedName>
    <definedName name="OwnershipOptions">'Validation Lists'!$F$3:$F$7</definedName>
    <definedName name="PropertyTypeOptions">'Validation Lists'!$G$3:$G$15</definedName>
    <definedName name="PropertyUseOptions">'Validation Lists'!$H$3:$H$18</definedName>
    <definedName name="SituationOptions">'Validation Lists'!$I$3:$I$6</definedName>
    <definedName name="RoadTypeOptions">'Validation Lists'!$J$3:$J$8</definedName>
    <definedName name="WaterSupplyOptions">'Validation Lists'!$K$3:$K$4</definedName>
    <definedName name="WaterConnectionTypeOptions">'Validation Lists'!$L$3:$L$15</definedName>
    <definedName name="ToiletTypeOptions">'Validation Lists'!$M$3:$M$10</definedName>
    <definedName name="WasteServiceOptions">'Validation Lists'!$N$3:$N$4</definedName>
    <definedName name="ActionOptions">'Validation Lists'!$O$3:$O$7</definedName>
    <definedName name="_xlnm._FilterDatabase" localSheetId="0" hidden="1">'Survey Data'!$A$4:$AM$84</definedName>
    <definedName name="_xlnm.Print_Titles" localSheetId="0">'Survey Data'!$4:$4</definedName>
    <definedName name="_xlnm.Print_Area" localSheetId="0">'Survey Data'!$A$4:$AM$84</definedName>
    <definedName name="_xlnm.Print_Titles" localSheetId="2">'Survey Progress'!$4:$4</definedName>
    <definedName name="_xlnm.Print_Area" localSheetId="2">'Survey Progress'!$A$3:$G$84</definedName>
    <definedName name="_xlnm.Print_Titles" localSheetId="3">'Actions'!$10:$10</definedName>
    <definedName name="_xlnm.Print_Area" localSheetId="3">'Actions'!$A$3:$F$90</definedName>
    <definedName name="_xlnm._FilterDatabase" localSheetId="4" hidden="1">'Field Guide'!$A$4:$I$44</definedName>
    <definedName name="_xlnm.Print_Titles" localSheetId="4">'Field Guide'!$4:$4</definedName>
    <definedName name="_xlnm.Print_Area" localSheetId="4">'Field Guide'!$A$1:$I$44</definedName>
    <definedName name="_xlnm.Print_Titles" localSheetId="5">'Floor Details'!$4:$4</definedName>
    <definedName name="_xlnm.Print_Area" localSheetId="5">'Floor Details'!$A$1:$H$16</definedName>
    <definedName name="_xlnm.Print_Titles" localSheetId="6">'README'!$4:$4</definedName>
    <definedName name="_xlnm.Print_Area" localSheetId="6">'README'!$A$1:$B$18</definedName>
  </definedNames>
  <calcPr calcId="124519" calcMode="auto" fullCalcOnLoad="1"/>
</workbook>
</file>

<file path=xl/styles.xml><?xml version="1.0" encoding="utf-8"?>
<styleSheet xmlns="http://schemas.openxmlformats.org/spreadsheetml/2006/main">
  <numFmts count="4">
    <numFmt numFmtId="164" formatCode="DD-MM-YYYY HH:MM"/>
    <numFmt numFmtId="165" formatCode="DD-MM-YYYY"/>
    <numFmt numFmtId="166" formatCode="0.000000"/>
    <numFmt numFmtId="167" formatCode="0.0000"/>
  </numFmts>
  <fonts count="11">
    <font>
      <name val="Calibri"/>
      <family val="2"/>
      <color theme="1"/>
      <sz val="11"/>
      <scheme val="minor"/>
    </font>
    <font>
      <name val="Calibri"/>
      <b val="1"/>
      <color rgb="00FFFFFF"/>
      <sz val="11"/>
    </font>
    <font>
      <name val="Calibri"/>
      <i val="1"/>
      <color rgb="0064748B"/>
      <sz val="10"/>
    </font>
    <font>
      <name val="Calibri"/>
      <b val="1"/>
      <color rgb="00FFFFFF"/>
      <sz val="10"/>
    </font>
    <font>
      <name val="Calibri"/>
      <color rgb="001E3A8A"/>
      <sz val="11"/>
    </font>
    <font>
      <name val="Calibri"/>
      <b val="1"/>
      <color rgb="00FFFFFF"/>
      <sz val="16"/>
    </font>
    <font>
      <name val="Calibri"/>
      <color rgb="00FFFFFF"/>
      <sz val="10"/>
    </font>
    <font>
      <name val="Calibri"/>
      <b val="1"/>
      <color rgb="001E40AF"/>
      <sz val="12"/>
    </font>
    <font>
      <name val="Calibri"/>
      <color rgb="001E3A8A"/>
      <sz val="10"/>
    </font>
    <font>
      <name val="Calibri"/>
      <i val="1"/>
      <color rgb="001E3A8A"/>
      <sz val="10"/>
    </font>
    <font>
      <name val="Calibri"/>
      <b val="1"/>
      <color rgb="001E3A8A"/>
      <sz val="11"/>
    </font>
  </fonts>
  <fills count="12">
    <fill>
      <patternFill/>
    </fill>
    <fill>
      <patternFill patternType="gray125"/>
    </fill>
    <fill>
      <patternFill patternType="solid">
        <fgColor rgb="001E40AF"/>
        <bgColor rgb="001E40AF"/>
      </patternFill>
    </fill>
    <fill>
      <patternFill patternType="solid">
        <fgColor rgb="003B82F6"/>
        <bgColor rgb="003B82F6"/>
      </patternFill>
    </fill>
    <fill>
      <patternFill patternType="solid">
        <fgColor rgb="001E3A5F"/>
        <bgColor rgb="001E3A5F"/>
      </patternFill>
    </fill>
    <fill>
      <patternFill patternType="solid">
        <fgColor rgb="001D4ED8"/>
        <bgColor rgb="001D4ED8"/>
      </patternFill>
    </fill>
    <fill>
      <patternFill patternType="solid">
        <fgColor rgb="00047857"/>
        <bgColor rgb="00047857"/>
      </patternFill>
    </fill>
    <fill>
      <patternFill patternType="solid">
        <fgColor rgb="001E3A8A"/>
        <bgColor rgb="001E3A8A"/>
      </patternFill>
    </fill>
    <fill>
      <patternFill patternType="solid">
        <fgColor rgb="00F59E0B"/>
        <bgColor rgb="00F59E0B"/>
      </patternFill>
    </fill>
    <fill>
      <patternFill patternType="solid">
        <fgColor rgb="00FFFFFF"/>
        <bgColor rgb="00FFFFFF"/>
      </patternFill>
    </fill>
    <fill>
      <patternFill patternType="solid">
        <fgColor rgb="00F8FAFC"/>
        <bgColor rgb="00F8FAFC"/>
      </patternFill>
    </fill>
    <fill>
      <patternFill patternType="solid">
        <fgColor rgb="00FDEBD0"/>
        <bgColor rgb="00FDEBD0"/>
      </patternFill>
    </fill>
  </fills>
  <borders count="3">
    <border>
      <left/>
      <right/>
      <top/>
      <bottom/>
      <diagonal/>
    </border>
    <border>
      <left style="thin">
        <color rgb="00D3D3D3"/>
      </left>
      <right style="thin">
        <color rgb="00D3D3D3"/>
      </right>
      <top style="thin">
        <color rgb="00D3D3D3"/>
      </top>
      <bottom style="thin">
        <color rgb="00D3D3D3"/>
      </bottom>
    </border>
    <border>
      <left style="medium">
        <color rgb="00F59E0B"/>
      </left>
      <right style="thin">
        <color rgb="00D3D3D3"/>
      </right>
      <top style="thin">
        <color rgb="00D3D3D3"/>
      </top>
      <bottom style="thin">
        <color rgb="00D3D3D3"/>
      </bottom>
    </border>
  </borders>
  <cellStyleXfs count="2">
    <xf numFmtId="0" fontId="0" fillId="0" borderId="0"/>
    <xf numFmtId="0" fontId="1" fillId="2" borderId="1" applyAlignment="1">
      <alignment horizontal="center" vertical="center" wrapText="1"/>
    </xf>
  </cellStyleXfs>
  <cellXfs count="81">
    <xf numFmtId="0" fontId="0" fillId="0" borderId="0" pivotButton="0" quotePrefix="0" xfId="0"/>
    <xf numFmtId="0" fontId="5" fillId="2" borderId="0" applyAlignment="1" pivotButton="0" quotePrefix="0" xfId="0">
      <alignment horizontal="left" vertical="center" indent="1"/>
    </xf>
    <xf numFmtId="0" fontId="6" fillId="3" borderId="0" applyAlignment="1" pivotButton="0" quotePrefix="0" xfId="0">
      <alignment horizontal="left" vertical="center" wrapText="1" indent="1"/>
    </xf>
    <xf numFmtId="0" fontId="3" fillId="2" borderId="2" applyAlignment="1" pivotButton="0" quotePrefix="0" xfId="0">
      <alignment horizontal="center" vertical="center"/>
    </xf>
    <xf numFmtId="0" fontId="0" fillId="2" borderId="1" pivotButton="0" quotePrefix="0" xfId="0"/>
    <xf numFmtId="0" fontId="3" fillId="4" borderId="2" applyAlignment="1" pivotButton="0" quotePrefix="0" xfId="0">
      <alignment horizontal="center" vertical="center"/>
    </xf>
    <xf numFmtId="0" fontId="0" fillId="4" borderId="1" pivotButton="0" quotePrefix="0" xfId="0"/>
    <xf numFmtId="0" fontId="3" fillId="5" borderId="2" applyAlignment="1" pivotButton="0" quotePrefix="0" xfId="0">
      <alignment horizontal="center" vertical="center"/>
    </xf>
    <xf numFmtId="0" fontId="0" fillId="5" borderId="1" pivotButton="0" quotePrefix="0" xfId="0"/>
    <xf numFmtId="0" fontId="3" fillId="6" borderId="2" applyAlignment="1" pivotButton="0" quotePrefix="0" xfId="0">
      <alignment horizontal="center" vertical="center"/>
    </xf>
    <xf numFmtId="0" fontId="0" fillId="6" borderId="1" pivotButton="0" quotePrefix="0" xfId="0"/>
    <xf numFmtId="0" fontId="3" fillId="7" borderId="2" applyAlignment="1" pivotButton="0" quotePrefix="0" xfId="0">
      <alignment horizontal="center" vertical="center"/>
    </xf>
    <xf numFmtId="0" fontId="0" fillId="7" borderId="1" pivotButton="0" quotePrefix="0" xfId="0"/>
    <xf numFmtId="0" fontId="3" fillId="8" borderId="2" applyAlignment="1" pivotButton="0" quotePrefix="0" xfId="0">
      <alignment horizontal="center" vertical="center"/>
    </xf>
    <xf numFmtId="0" fontId="0" fillId="8" borderId="1" pivotButton="0" quotePrefix="0" xfId="0"/>
    <xf numFmtId="0" fontId="1" fillId="2" borderId="2" applyAlignment="1" pivotButton="0" quotePrefix="0" xfId="1">
      <alignment horizontal="center" vertical="center" wrapText="1"/>
    </xf>
    <xf numFmtId="0" fontId="1" fillId="2" borderId="1" applyAlignment="1" pivotButton="0" quotePrefix="0" xfId="1">
      <alignment horizontal="center" vertical="center" wrapText="1"/>
    </xf>
    <xf numFmtId="1" fontId="4" fillId="9" borderId="2" applyAlignment="1" pivotButton="0" quotePrefix="0" xfId="0">
      <alignment horizontal="right" vertical="center"/>
    </xf>
    <xf numFmtId="0" fontId="4" fillId="9" borderId="1" applyAlignment="1" applyProtection="1" pivotButton="0" quotePrefix="0" xfId="0">
      <alignment horizontal="center" vertical="center" wrapText="1"/>
      <protection locked="0" hidden="0"/>
    </xf>
    <xf numFmtId="0" fontId="4" fillId="9" borderId="1" applyAlignment="1" applyProtection="1" pivotButton="0" quotePrefix="0" xfId="0">
      <alignment horizontal="left" vertical="center" wrapText="1"/>
      <protection locked="0" hidden="0"/>
    </xf>
    <xf numFmtId="49" fontId="4" fillId="9" borderId="1" applyAlignment="1" pivotButton="0" quotePrefix="0" xfId="0">
      <alignment horizontal="left" vertical="center" wrapText="1"/>
    </xf>
    <xf numFmtId="164" fontId="4" fillId="9" borderId="1" applyAlignment="1" applyProtection="1" pivotButton="0" quotePrefix="0" xfId="0">
      <alignment horizontal="center" vertical="center" wrapText="1"/>
      <protection locked="0" hidden="0"/>
    </xf>
    <xf numFmtId="0" fontId="4" fillId="9" borderId="2" applyAlignment="1" applyProtection="1" pivotButton="0" quotePrefix="0" xfId="0">
      <alignment horizontal="left" vertical="center" wrapText="1"/>
      <protection locked="0" hidden="0"/>
    </xf>
    <xf numFmtId="49" fontId="4" fillId="9" borderId="1" applyAlignment="1" applyProtection="1" pivotButton="0" quotePrefix="0" xfId="0">
      <alignment horizontal="left" vertical="center" wrapText="1"/>
      <protection locked="0" hidden="0"/>
    </xf>
    <xf numFmtId="1" fontId="4" fillId="9" borderId="1" applyAlignment="1" applyProtection="1" pivotButton="0" quotePrefix="0" xfId="0">
      <alignment horizontal="right" vertical="center"/>
      <protection locked="0" hidden="0"/>
    </xf>
    <xf numFmtId="165" fontId="4" fillId="9" borderId="1" applyAlignment="1" applyProtection="1" pivotButton="0" quotePrefix="0" xfId="0">
      <alignment horizontal="center" vertical="center" wrapText="1"/>
      <protection locked="0" hidden="0"/>
    </xf>
    <xf numFmtId="0" fontId="4" fillId="9" borderId="2" applyAlignment="1" applyProtection="1" pivotButton="0" quotePrefix="0" xfId="0">
      <alignment horizontal="center" vertical="center" wrapText="1"/>
      <protection locked="0" hidden="0"/>
    </xf>
    <xf numFmtId="4" fontId="4" fillId="9" borderId="2" applyAlignment="1" applyProtection="1" pivotButton="0" quotePrefix="0" xfId="0">
      <alignment horizontal="right" vertical="center"/>
      <protection locked="0" hidden="0"/>
    </xf>
    <xf numFmtId="4" fontId="4" fillId="9" borderId="1" applyAlignment="1" applyProtection="1" pivotButton="0" quotePrefix="0" xfId="0">
      <alignment horizontal="right" vertical="center"/>
      <protection locked="0" hidden="0"/>
    </xf>
    <xf numFmtId="166" fontId="4" fillId="9" borderId="2" applyAlignment="1" applyProtection="1" pivotButton="0" quotePrefix="0" xfId="0">
      <alignment horizontal="right" vertical="center"/>
      <protection locked="0" hidden="0"/>
    </xf>
    <xf numFmtId="166" fontId="4" fillId="9" borderId="1" applyAlignment="1" applyProtection="1" pivotButton="0" quotePrefix="0" xfId="0">
      <alignment horizontal="right" vertical="center"/>
      <protection locked="0" hidden="0"/>
    </xf>
    <xf numFmtId="1" fontId="4" fillId="10" borderId="2" applyAlignment="1" pivotButton="0" quotePrefix="0" xfId="0">
      <alignment horizontal="right" vertical="center"/>
    </xf>
    <xf numFmtId="0" fontId="4" fillId="10" borderId="1" applyAlignment="1" applyProtection="1" pivotButton="0" quotePrefix="0" xfId="0">
      <alignment horizontal="center" vertical="center" wrapText="1"/>
      <protection locked="0" hidden="0"/>
    </xf>
    <xf numFmtId="0" fontId="4" fillId="10" borderId="1" applyAlignment="1" applyProtection="1" pivotButton="0" quotePrefix="0" xfId="0">
      <alignment horizontal="left" vertical="center" wrapText="1"/>
      <protection locked="0" hidden="0"/>
    </xf>
    <xf numFmtId="49" fontId="4" fillId="10" borderId="1" applyAlignment="1" pivotButton="0" quotePrefix="0" xfId="0">
      <alignment horizontal="left" vertical="center" wrapText="1"/>
    </xf>
    <xf numFmtId="164" fontId="4" fillId="10" borderId="1" applyAlignment="1" applyProtection="1" pivotButton="0" quotePrefix="0" xfId="0">
      <alignment horizontal="center" vertical="center" wrapText="1"/>
      <protection locked="0" hidden="0"/>
    </xf>
    <xf numFmtId="0" fontId="4" fillId="10" borderId="2" applyAlignment="1" applyProtection="1" pivotButton="0" quotePrefix="0" xfId="0">
      <alignment horizontal="left" vertical="center" wrapText="1"/>
      <protection locked="0" hidden="0"/>
    </xf>
    <xf numFmtId="49" fontId="4" fillId="10" borderId="1" applyAlignment="1" applyProtection="1" pivotButton="0" quotePrefix="0" xfId="0">
      <alignment horizontal="left" vertical="center" wrapText="1"/>
      <protection locked="0" hidden="0"/>
    </xf>
    <xf numFmtId="1" fontId="4" fillId="10" borderId="1" applyAlignment="1" applyProtection="1" pivotButton="0" quotePrefix="0" xfId="0">
      <alignment horizontal="right" vertical="center"/>
      <protection locked="0" hidden="0"/>
    </xf>
    <xf numFmtId="165" fontId="4" fillId="10" borderId="1" applyAlignment="1" applyProtection="1" pivotButton="0" quotePrefix="0" xfId="0">
      <alignment horizontal="center" vertical="center" wrapText="1"/>
      <protection locked="0" hidden="0"/>
    </xf>
    <xf numFmtId="0" fontId="4" fillId="10" borderId="2" applyAlignment="1" applyProtection="1" pivotButton="0" quotePrefix="0" xfId="0">
      <alignment horizontal="center" vertical="center" wrapText="1"/>
      <protection locked="0" hidden="0"/>
    </xf>
    <xf numFmtId="4" fontId="4" fillId="10" borderId="2" applyAlignment="1" applyProtection="1" pivotButton="0" quotePrefix="0" xfId="0">
      <alignment horizontal="right" vertical="center"/>
      <protection locked="0" hidden="0"/>
    </xf>
    <xf numFmtId="4" fontId="4" fillId="10" borderId="1" applyAlignment="1" applyProtection="1" pivotButton="0" quotePrefix="0" xfId="0">
      <alignment horizontal="right" vertical="center"/>
      <protection locked="0" hidden="0"/>
    </xf>
    <xf numFmtId="166" fontId="4" fillId="10" borderId="2" applyAlignment="1" applyProtection="1" pivotButton="0" quotePrefix="0" xfId="0">
      <alignment horizontal="right" vertical="center"/>
      <protection locked="0" hidden="0"/>
    </xf>
    <xf numFmtId="166" fontId="4" fillId="10" borderId="1" applyAlignment="1" applyProtection="1" pivotButton="0" quotePrefix="0" xfId="0">
      <alignment horizontal="right" vertical="center"/>
      <protection locked="0" hidden="0"/>
    </xf>
    <xf numFmtId="0" fontId="2" fillId="0" borderId="0" pivotButton="0" quotePrefix="0" xfId="0"/>
    <xf numFmtId="0" fontId="3" fillId="2" borderId="1" applyAlignment="1" pivotButton="0" quotePrefix="0" xfId="0">
      <alignment horizontal="center" wrapText="1"/>
    </xf>
    <xf numFmtId="0" fontId="4" fillId="0" borderId="1" applyAlignment="1" pivotButton="0" quotePrefix="0" xfId="0">
      <alignment horizontal="left" vertical="center"/>
    </xf>
    <xf numFmtId="0" fontId="3" fillId="8" borderId="1" applyAlignment="1" pivotButton="0" quotePrefix="0" xfId="0">
      <alignment horizontal="center" vertical="center" wrapText="1"/>
    </xf>
    <xf numFmtId="0" fontId="3" fillId="3" borderId="1" applyAlignment="1" pivotButton="0" quotePrefix="0" xfId="0">
      <alignment horizontal="center" vertical="center" wrapText="1"/>
    </xf>
    <xf numFmtId="0" fontId="1" fillId="2" borderId="1" applyAlignment="1" pivotButton="0" quotePrefix="0" xfId="0">
      <alignment horizontal="center" vertical="center" wrapText="1"/>
    </xf>
    <xf numFmtId="1" fontId="4" fillId="9" borderId="1" applyAlignment="1" pivotButton="0" quotePrefix="0" xfId="0">
      <alignment horizontal="center" vertical="center"/>
    </xf>
    <xf numFmtId="0" fontId="4" fillId="9" borderId="1" applyAlignment="1" pivotButton="0" quotePrefix="0" xfId="0">
      <alignment horizontal="left" vertical="center"/>
    </xf>
    <xf numFmtId="9" fontId="4" fillId="9" borderId="1" applyAlignment="1" pivotButton="0" quotePrefix="0" xfId="0">
      <alignment horizontal="center" vertical="center"/>
    </xf>
    <xf numFmtId="1" fontId="4" fillId="10" borderId="1" applyAlignment="1" pivotButton="0" quotePrefix="0" xfId="0">
      <alignment horizontal="center" vertical="center"/>
    </xf>
    <xf numFmtId="0" fontId="4" fillId="10" borderId="1" applyAlignment="1" pivotButton="0" quotePrefix="0" xfId="0">
      <alignment horizontal="left" vertical="center"/>
    </xf>
    <xf numFmtId="9" fontId="4" fillId="10" borderId="1" applyAlignment="1" pivotButton="0" quotePrefix="0" xfId="0">
      <alignment horizontal="center" vertical="center"/>
    </xf>
    <xf numFmtId="0" fontId="7" fillId="0" borderId="0" pivotButton="0" quotePrefix="0" xfId="0"/>
    <xf numFmtId="0" fontId="4" fillId="0" borderId="0" applyAlignment="1" pivotButton="0" quotePrefix="0" xfId="0">
      <alignment wrapText="1"/>
    </xf>
    <xf numFmtId="0" fontId="4" fillId="9" borderId="1" applyAlignment="1" pivotButton="0" quotePrefix="0" xfId="0">
      <alignment horizontal="center" vertical="center"/>
    </xf>
    <xf numFmtId="0" fontId="4" fillId="9" borderId="1" applyAlignment="1" applyProtection="1" pivotButton="0" quotePrefix="0" xfId="0">
      <alignment horizontal="center" vertical="center"/>
      <protection locked="0" hidden="0"/>
    </xf>
    <xf numFmtId="0" fontId="4" fillId="9" borderId="1" applyAlignment="1" applyProtection="1" pivotButton="0" quotePrefix="0" xfId="0">
      <alignment horizontal="left" vertical="center"/>
      <protection locked="0" hidden="0"/>
    </xf>
    <xf numFmtId="0" fontId="4" fillId="10" borderId="1" applyAlignment="1" pivotButton="0" quotePrefix="0" xfId="0">
      <alignment horizontal="center" vertical="center"/>
    </xf>
    <xf numFmtId="0" fontId="4" fillId="10" borderId="1" applyAlignment="1" applyProtection="1" pivotButton="0" quotePrefix="0" xfId="0">
      <alignment horizontal="center" vertical="center"/>
      <protection locked="0" hidden="0"/>
    </xf>
    <xf numFmtId="0" fontId="4" fillId="10" borderId="1" applyAlignment="1" applyProtection="1" pivotButton="0" quotePrefix="0" xfId="0">
      <alignment horizontal="left" vertical="center"/>
      <protection locked="0" hidden="0"/>
    </xf>
    <xf numFmtId="0" fontId="8"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9"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4" fillId="9" borderId="1" applyAlignment="1" pivotButton="0" quotePrefix="0" xfId="0">
      <alignment horizontal="left" vertical="center" wrapText="1"/>
    </xf>
    <xf numFmtId="2" fontId="4" fillId="9" borderId="1" applyAlignment="1" pivotButton="0" quotePrefix="0" xfId="0">
      <alignment horizontal="right" vertical="center"/>
    </xf>
    <xf numFmtId="167" fontId="4" fillId="9" borderId="1" applyAlignment="1" pivotButton="0" quotePrefix="0" xfId="0">
      <alignment horizontal="right" vertical="center"/>
    </xf>
    <xf numFmtId="0" fontId="4" fillId="10" borderId="1" applyAlignment="1" pivotButton="0" quotePrefix="0" xfId="0">
      <alignment horizontal="left" vertical="center" wrapText="1"/>
    </xf>
    <xf numFmtId="2" fontId="4" fillId="10" borderId="1" applyAlignment="1" pivotButton="0" quotePrefix="0" xfId="0">
      <alignment horizontal="right" vertical="center"/>
    </xf>
    <xf numFmtId="167" fontId="4" fillId="10" borderId="1" applyAlignment="1" pivotButton="0" quotePrefix="0" xfId="0">
      <alignment horizontal="right" vertical="center"/>
    </xf>
    <xf numFmtId="0" fontId="2" fillId="0" borderId="0" applyAlignment="1" pivotButton="0" quotePrefix="0" xfId="0">
      <alignment vertical="center" wrapText="1"/>
    </xf>
    <xf numFmtId="0" fontId="1" fillId="2" borderId="1" applyAlignment="1" pivotButton="0" quotePrefix="0" xfId="0">
      <alignment horizontal="center" vertical="center"/>
    </xf>
    <xf numFmtId="0" fontId="10" fillId="9" borderId="1" applyAlignment="1" pivotButton="0" quotePrefix="0" xfId="0">
      <alignment horizontal="left" vertical="center" wrapText="1"/>
    </xf>
    <xf numFmtId="0" fontId="10" fillId="10" borderId="1" applyAlignment="1" pivotButton="0" quotePrefix="0" xfId="0">
      <alignment horizontal="left" vertical="center" wrapText="1"/>
    </xf>
  </cellXfs>
  <cellStyles count="2">
    <cellStyle name="Normal" xfId="0" builtinId="0" hidden="0"/>
    <cellStyle name="SurveyHeader" xfId="1" hidden="0"/>
  </cellStyles>
  <dxfs count="11">
    <dxf>
      <font>
        <name val="Calibri"/>
        <b val="1"/>
        <color rgb="00FFFFFF"/>
        <sz val="11"/>
      </font>
      <fill>
        <patternFill patternType="solid">
          <fgColor rgb="001E40AF"/>
        </patternFill>
      </fill>
      <alignment horizontal="center" vertical="center" wrapText="1"/>
      <border>
        <left style="thin">
          <color rgb="00D3D3D3"/>
        </left>
        <right style="thin">
          <color rgb="00D3D3D3"/>
        </right>
        <top style="thin">
          <color rgb="00D3D3D3"/>
        </top>
        <bottom style="thin">
          <color rgb="00D3D3D3"/>
        </bottom>
      </border>
    </dxf>
    <dxf>
      <fill>
        <patternFill patternType="solid">
          <fgColor rgb="00FFFFFF"/>
        </patternFill>
      </fill>
    </dxf>
    <dxf>
      <fill>
        <patternFill patternType="solid">
          <fgColor rgb="00F8FAFC"/>
        </patternFill>
      </fill>
    </dxf>
    <dxf>
      <fill>
        <patternFill patternType="solid">
          <fgColor rgb="00E8F8F0"/>
          <bgColor rgb="00E8F8F0"/>
        </patternFill>
      </fill>
    </dxf>
    <dxf>
      <fill>
        <patternFill patternType="solid">
          <fgColor rgb="00FFF8E1"/>
          <bgColor rgb="00FFF8E1"/>
        </patternFill>
      </fill>
    </dxf>
    <dxf>
      <fill>
        <patternFill patternType="solid">
          <fgColor rgb="00EAF4FC"/>
          <bgColor rgb="00EAF4FC"/>
        </patternFill>
      </fill>
    </dxf>
    <dxf>
      <fill>
        <patternFill patternType="solid">
          <fgColor rgb="00F4EAF8"/>
          <bgColor rgb="00F4EAF8"/>
        </patternFill>
      </fill>
    </dxf>
    <dxf>
      <font>
        <name val="Calibri"/>
        <b val="1"/>
        <color rgb="001E8449"/>
        <sz val="11"/>
      </font>
      <fill>
        <patternFill patternType="solid">
          <fgColor rgb="00C8EED8"/>
          <bgColor rgb="00C8EED8"/>
        </patternFill>
      </fill>
    </dxf>
    <dxf>
      <font>
        <name val="Calibri"/>
        <b val="1"/>
        <color rgb="00B7950B"/>
        <sz val="11"/>
      </font>
      <fill>
        <patternFill patternType="solid">
          <fgColor rgb="00FDE9A9"/>
          <bgColor rgb="00FDE9A9"/>
        </patternFill>
      </fill>
    </dxf>
    <dxf>
      <font>
        <name val="Calibri"/>
        <b val="1"/>
        <color rgb="001A5276"/>
        <sz val="11"/>
      </font>
      <fill>
        <patternFill patternType="solid">
          <fgColor rgb="00CDE6F7"/>
          <bgColor rgb="00CDE6F7"/>
        </patternFill>
      </fill>
    </dxf>
    <dxf>
      <font>
        <name val="Calibri"/>
        <b val="1"/>
        <color rgb="006C3483"/>
        <sz val="11"/>
      </font>
      <fill>
        <patternFill patternType="solid">
          <fgColor rgb="00E4D2F0"/>
          <bgColor rgb="00E4D2F0"/>
        </patternFill>
      </fill>
    </dxf>
  </dxfs>
  <tableStyles count="1" defaultTableStyle="TableStyleMedium9" defaultPivotStyle="PivotStyleLight16">
    <tableStyle name="SurveyModern" pivot="0">
      <tableStyleElement type="headerRow" size="1" dxfId="0"/>
      <tableStyleElement type="firstRowStripe" size="1" dxfId="1"/>
      <tableStyleElement type="secondRowStripe" size="1"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Survey Template</author>
  </authors>
  <commentList>
    <comment ref="E4" authorId="0" shapeId="0">
      <text>
        <t>Formula: 800797-011-{Parcel No}-{old property Number}-{Property Type}. Blank source fields yield a blank ID instead of 800797-011---.</t>
      </text>
    </comment>
    <comment ref="X4" authorId="0" shapeId="0">
      <text>
        <t>Individual (Single/Joint) covers both sole and joint individual ownership per application business rules. Use Joint when the survey captured explicit joint ownership.</t>
      </text>
    </comment>
    <comment ref="Z4" authorId="0" shapeId="0">
      <text>
        <t>Property Uses is the actual current use of the property (occupancy), which may differ from Property Type (classification).</t>
      </text>
    </comment>
    <comment ref="AI4" authorId="0" shapeId="0">
      <text>
        <t>Permitted values include water sources (Government Tap, Borewell, Dug well) and some sanitation codes retained for legacy import compatibility. Prefer Toilet Type for sanitation.</t>
      </text>
    </comment>
  </commentList>
</comments>
</file>

<file path=xl/tables/table1.xml><?xml version="1.0" encoding="utf-8"?>
<table xmlns="http://schemas.openxmlformats.org/spreadsheetml/2006/main" id="1" name="SurveyData" displayName="SurveyData" ref="A4:AM84" headerRowCount="1">
  <autoFilter ref="A4:AM84"/>
  <tableColumns count="39">
    <tableColumn id="1" name="SN"/>
    <tableColumn id="2" name="Status"/>
    <tableColumn id="3" name="Surveyor Name"/>
    <tableColumn id="4" name="Assessment Year"/>
    <tableColumn id="5" name="Property Id"/>
    <tableColumn id="6" name="Date of Survey"/>
    <tableColumn id="7" name="Owner Name"/>
    <tableColumn id="8" name="Owner Father Name"/>
    <tableColumn id="9" name="Mobile No"/>
    <tableColumn id="10" name="Ward Name"/>
    <tableColumn id="11" name="Is Slum"/>
    <tableColumn id="12" name="Parcel No"/>
    <tableColumn id="13" name="Unit No"/>
    <tableColumn id="14" name="old property Number"/>
    <tableColumn id="15" name="Constructed Date"/>
    <tableColumn id="16" name="Respondent Name"/>
    <tableColumn id="17" name="Respondent Relationship"/>
    <tableColumn id="18" name="City"/>
    <tableColumn id="19" name="Pincode"/>
    <tableColumn id="20" name="House No"/>
    <tableColumn id="21" name="Locality"/>
    <tableColumn id="22" name="Colony"/>
    <tableColumn id="23" name="Tax Rate Zone"/>
    <tableColumn id="24" name="Property Ownership"/>
    <tableColumn id="25" name="Property Type"/>
    <tableColumn id="26" name="Property Uses"/>
    <tableColumn id="27" name="Situation"/>
    <tableColumn id="28" name="Road Type"/>
    <tableColumn id="29" name="Floors"/>
    <tableColumn id="30" name="Plot Area SqFt"/>
    <tableColumn id="31" name="Plinth Area SqFt"/>
    <tableColumn id="32" name="Total Built Up Area SqFt"/>
    <tableColumn id="33" name="Is Municipal Water Supply"/>
    <tableColumn id="34" name="Total Water Connection"/>
    <tableColumn id="35" name="Water Connection Id/Type"/>
    <tableColumn id="36" name="Toilet Type"/>
    <tableColumn id="37" name="Is Municipal Waste Service"/>
    <tableColumn id="38" name="Latitude"/>
    <tableColumn id="39" name="Longitude"/>
  </tableColumns>
  <tableStyleInfo name="SurveyModern"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001E40AF"/>
    <outlinePr summaryBelow="1" summaryRight="1"/>
    <pageSetUpPr fitToPage="1"/>
  </sheetPr>
  <dimension ref="A1:AM84"/>
  <sheetViews>
    <sheetView showGridLines="0" view="normal" zoomScale="90" workbookViewId="0">
      <pane ySplit="4" topLeftCell="A5" activePane="bottomLeft" state="frozen"/>
      <selection pane="bottomLeft" activeCell="A1" sqref="A1"/>
    </sheetView>
  </sheetViews>
  <sheetFormatPr baseColWidth="8" defaultRowHeight="15"/>
  <cols>
    <col width="8" customWidth="1" min="1" max="1"/>
    <col width="14" customWidth="1" min="2" max="2"/>
    <col width="18" customWidth="1" min="3" max="3"/>
    <col width="16" customWidth="1" min="4" max="4"/>
    <col width="32" customWidth="1" min="5" max="5"/>
    <col width="20" customWidth="1" min="6" max="6"/>
    <col width="28" customWidth="1" min="7" max="7"/>
    <col width="22" customWidth="1" min="8" max="8"/>
    <col width="15" customWidth="1" min="9" max="9"/>
    <col width="26" customWidth="1" min="10" max="10"/>
    <col width="12" customWidth="1" min="11" max="11"/>
    <col width="12" customWidth="1" min="12" max="12"/>
    <col width="12" customWidth="1" min="13" max="13"/>
    <col width="18" customWidth="1" min="14" max="14"/>
    <col width="18" customWidth="1" min="15" max="15"/>
    <col width="22" customWidth="1" min="16" max="16"/>
    <col width="22" customWidth="1" min="17" max="17"/>
    <col width="15" customWidth="1" min="18" max="18"/>
    <col width="15" customWidth="1" min="19" max="19"/>
    <col width="15" customWidth="1" min="20" max="20"/>
    <col width="18" customWidth="1" min="21" max="21"/>
    <col width="18" customWidth="1" min="22" max="22"/>
    <col width="16" customWidth="1" min="23" max="23"/>
    <col width="26" customWidth="1" min="24" max="24"/>
    <col width="32" customWidth="1" min="25" max="25"/>
    <col width="32" customWidth="1" min="26" max="26"/>
    <col width="16" customWidth="1" min="27" max="27"/>
    <col width="20" customWidth="1" min="28" max="28"/>
    <col width="12" customWidth="1" min="29" max="29"/>
    <col width="20" customWidth="1" min="30" max="30"/>
    <col width="20" customWidth="1" min="31" max="31"/>
    <col width="24" customWidth="1" min="32" max="32"/>
    <col width="24" customWidth="1" min="33" max="33"/>
    <col width="22" customWidth="1" min="34" max="34"/>
    <col width="28" customWidth="1" min="35" max="35"/>
    <col width="26" customWidth="1" min="36" max="36"/>
    <col width="24" customWidth="1" min="37" max="37"/>
    <col width="16" customWidth="1" min="38" max="38"/>
    <col width="16" customWidth="1" min="39" max="39"/>
  </cols>
  <sheetData>
    <row r="1" ht="32" customHeight="1">
      <c r="A1" s="1" t="inlineStr">
        <is>
          <t>Municipal Property Tax Survey  |  Data Entry Template</t>
        </is>
      </c>
    </row>
    <row r="2" ht="22" customHeight="1">
      <c r="A2" s="2" t="inlineStr">
        <is>
          <t>ULB 800797  |  Ward code 011  |  Property Id = 800797-011-{Parcel No}-{old property Number}-{Property Type}  |  SN and Property Id are formula-protected  |  Status is editable for field entry  |  v1.0</t>
        </is>
      </c>
    </row>
    <row r="3" ht="20" customHeight="1">
      <c r="A3" s="3" t="inlineStr">
        <is>
          <t>Survey / Workflow</t>
        </is>
      </c>
      <c r="B3" s="4" t="n"/>
      <c r="C3" s="4" t="n"/>
      <c r="D3" s="4" t="n"/>
      <c r="E3" s="4" t="n"/>
      <c r="F3" s="4" t="n"/>
      <c r="G3" s="5" t="inlineStr">
        <is>
          <t>Owner / Respondent</t>
        </is>
      </c>
      <c r="H3" s="6" t="n"/>
      <c r="I3" s="6" t="n"/>
      <c r="J3" s="6" t="n"/>
      <c r="K3" s="6" t="n"/>
      <c r="L3" s="6" t="n"/>
      <c r="M3" s="6" t="n"/>
      <c r="N3" s="6" t="n"/>
      <c r="O3" s="6" t="n"/>
      <c r="P3" s="6" t="n"/>
      <c r="Q3" s="6" t="n"/>
      <c r="R3" s="7" t="inlineStr">
        <is>
          <t>Address Information</t>
        </is>
      </c>
      <c r="S3" s="8" t="n"/>
      <c r="T3" s="8" t="n"/>
      <c r="U3" s="8" t="n"/>
      <c r="V3" s="8" t="n"/>
      <c r="W3" s="3" t="inlineStr">
        <is>
          <t>Property Classification</t>
        </is>
      </c>
      <c r="X3" s="4" t="n"/>
      <c r="Y3" s="4" t="n"/>
      <c r="Z3" s="4" t="n"/>
      <c r="AA3" s="4" t="n"/>
      <c r="AB3" s="4" t="n"/>
      <c r="AC3" s="4" t="n"/>
      <c r="AD3" s="9" t="inlineStr">
        <is>
          <t>Area Measurements</t>
        </is>
      </c>
      <c r="AE3" s="10" t="n"/>
      <c r="AF3" s="10" t="n"/>
      <c r="AG3" s="11" t="inlineStr">
        <is>
          <t>Utility Information</t>
        </is>
      </c>
      <c r="AH3" s="12" t="n"/>
      <c r="AI3" s="12" t="n"/>
      <c r="AJ3" s="12" t="n"/>
      <c r="AK3" s="12" t="n"/>
      <c r="AL3" s="13" t="inlineStr">
        <is>
          <t>GPS / Location</t>
        </is>
      </c>
      <c r="AM3" s="14" t="n"/>
    </row>
    <row r="4" ht="42" customHeight="1">
      <c r="A4" s="15" t="inlineStr">
        <is>
          <t>SN</t>
        </is>
      </c>
      <c r="B4" s="16" t="inlineStr">
        <is>
          <t>Status</t>
        </is>
      </c>
      <c r="C4" s="16" t="inlineStr">
        <is>
          <t>Surveyor Name</t>
        </is>
      </c>
      <c r="D4" s="16" t="inlineStr">
        <is>
          <t>Assessment Year</t>
        </is>
      </c>
      <c r="E4" s="16" t="inlineStr">
        <is>
          <t>Property Id</t>
        </is>
      </c>
      <c r="F4" s="16" t="inlineStr">
        <is>
          <t>Date of Survey</t>
        </is>
      </c>
      <c r="G4" s="15" t="inlineStr">
        <is>
          <t>Owner Name</t>
        </is>
      </c>
      <c r="H4" s="16" t="inlineStr">
        <is>
          <t>Owner Father Name</t>
        </is>
      </c>
      <c r="I4" s="16" t="inlineStr">
        <is>
          <t>Mobile No</t>
        </is>
      </c>
      <c r="J4" s="16" t="inlineStr">
        <is>
          <t>Ward Name</t>
        </is>
      </c>
      <c r="K4" s="16" t="inlineStr">
        <is>
          <t>Is Slum</t>
        </is>
      </c>
      <c r="L4" s="16" t="inlineStr">
        <is>
          <t>Parcel No</t>
        </is>
      </c>
      <c r="M4" s="16" t="inlineStr">
        <is>
          <t>Unit No</t>
        </is>
      </c>
      <c r="N4" s="16" t="inlineStr">
        <is>
          <t>old property Number</t>
        </is>
      </c>
      <c r="O4" s="16" t="inlineStr">
        <is>
          <t>Constructed Date</t>
        </is>
      </c>
      <c r="P4" s="16" t="inlineStr">
        <is>
          <t>Respondent Name</t>
        </is>
      </c>
      <c r="Q4" s="16" t="inlineStr">
        <is>
          <t>Respondent Relationship</t>
        </is>
      </c>
      <c r="R4" s="15" t="inlineStr">
        <is>
          <t>City</t>
        </is>
      </c>
      <c r="S4" s="16" t="inlineStr">
        <is>
          <t>Pincode</t>
        </is>
      </c>
      <c r="T4" s="16" t="inlineStr">
        <is>
          <t>House No</t>
        </is>
      </c>
      <c r="U4" s="16" t="inlineStr">
        <is>
          <t>Locality</t>
        </is>
      </c>
      <c r="V4" s="16" t="inlineStr">
        <is>
          <t>Colony</t>
        </is>
      </c>
      <c r="W4" s="15" t="inlineStr">
        <is>
          <t>Tax Rate Zone</t>
        </is>
      </c>
      <c r="X4" s="16" t="inlineStr">
        <is>
          <t>Property Ownership</t>
        </is>
      </c>
      <c r="Y4" s="16" t="inlineStr">
        <is>
          <t>Property Type</t>
        </is>
      </c>
      <c r="Z4" s="16" t="inlineStr">
        <is>
          <t>Property Uses</t>
        </is>
      </c>
      <c r="AA4" s="16" t="inlineStr">
        <is>
          <t>Situation</t>
        </is>
      </c>
      <c r="AB4" s="16" t="inlineStr">
        <is>
          <t>Road Type</t>
        </is>
      </c>
      <c r="AC4" s="16" t="inlineStr">
        <is>
          <t>Floors</t>
        </is>
      </c>
      <c r="AD4" s="15" t="inlineStr">
        <is>
          <t>Plot Area SqFt</t>
        </is>
      </c>
      <c r="AE4" s="16" t="inlineStr">
        <is>
          <t>Plinth Area SqFt</t>
        </is>
      </c>
      <c r="AF4" s="16" t="inlineStr">
        <is>
          <t>Total Built Up Area SqFt</t>
        </is>
      </c>
      <c r="AG4" s="15" t="inlineStr">
        <is>
          <t>Is Municipal Water Supply</t>
        </is>
      </c>
      <c r="AH4" s="16" t="inlineStr">
        <is>
          <t>Total Water Connection</t>
        </is>
      </c>
      <c r="AI4" s="16" t="inlineStr">
        <is>
          <t>Water Connection Id/Type</t>
        </is>
      </c>
      <c r="AJ4" s="16" t="inlineStr">
        <is>
          <t>Toilet Type</t>
        </is>
      </c>
      <c r="AK4" s="16" t="inlineStr">
        <is>
          <t>Is Municipal Waste Service</t>
        </is>
      </c>
      <c r="AL4" s="15" t="inlineStr">
        <is>
          <t>Latitude</t>
        </is>
      </c>
      <c r="AM4" s="16" t="inlineStr">
        <is>
          <t>Longitude</t>
        </is>
      </c>
    </row>
    <row r="5" ht="22" customHeight="1">
      <c r="A5" s="17">
        <f>IF(COUNTA($B5:$D5,$F5:$AM5)&gt;0,MAX($A$4:A4)+1,"")</f>
        <v/>
      </c>
      <c r="B5" s="18" t="inlineStr">
        <is>
          <t>Completed</t>
        </is>
      </c>
      <c r="C5" s="19" t="inlineStr">
        <is>
          <t>Amit Verma</t>
        </is>
      </c>
      <c r="D5" s="18" t="inlineStr">
        <is>
          <t>2025-2026</t>
        </is>
      </c>
      <c r="E5" s="20">
        <f>IF(OR($L5="",$N5="",TRIM($Y5)=""),"","800797-011-"&amp;TEXT($L5,"0")&amp;"-"&amp;TEXT($N5,"0")&amp;"-"&amp;TRIM($Y5))</f>
        <v/>
      </c>
      <c r="F5" s="21" t="n">
        <v>45820.44097222222</v>
      </c>
      <c r="G5" s="22" t="inlineStr">
        <is>
          <t>Ramesh Kumar Sharma</t>
        </is>
      </c>
      <c r="H5" s="19" t="inlineStr">
        <is>
          <t>Ram Lal Sharma</t>
        </is>
      </c>
      <c r="I5" s="23" t="inlineStr">
        <is>
          <t>9876501234</t>
        </is>
      </c>
      <c r="J5" s="19" t="inlineStr">
        <is>
          <t>Ward 11 - Gandhi Nagar</t>
        </is>
      </c>
      <c r="K5" s="18" t="inlineStr">
        <is>
          <t>no</t>
        </is>
      </c>
      <c r="L5" s="24" t="n">
        <v>125</v>
      </c>
      <c r="M5" s="24" t="n">
        <v>1</v>
      </c>
      <c r="N5" s="24" t="n">
        <v>4587</v>
      </c>
      <c r="O5" s="25" t="n">
        <v>39521</v>
      </c>
      <c r="P5" s="19" t="inlineStr">
        <is>
          <t>Ramesh Kumar Sharma</t>
        </is>
      </c>
      <c r="Q5" s="18" t="inlineStr">
        <is>
          <t>Self</t>
        </is>
      </c>
      <c r="R5" s="22" t="inlineStr">
        <is>
          <t>Etah</t>
        </is>
      </c>
      <c r="S5" s="23" t="inlineStr">
        <is>
          <t>207001</t>
        </is>
      </c>
      <c r="T5" s="19" t="inlineStr">
        <is>
          <t>12-A</t>
        </is>
      </c>
      <c r="U5" s="19" t="inlineStr">
        <is>
          <t>Gandhi Nagar</t>
        </is>
      </c>
      <c r="V5" s="19" t="inlineStr">
        <is>
          <t>Shastri Colony</t>
        </is>
      </c>
      <c r="W5" s="26" t="inlineStr">
        <is>
          <t>RATE ZONE 1</t>
        </is>
      </c>
      <c r="X5" s="18" t="inlineStr">
        <is>
          <t>Individual (Single/Joint)</t>
        </is>
      </c>
      <c r="Y5" s="18" t="inlineStr">
        <is>
          <t>Residential</t>
        </is>
      </c>
      <c r="Z5" s="18" t="inlineStr">
        <is>
          <t>Residential Self</t>
        </is>
      </c>
      <c r="AA5" s="18" t="inlineStr">
        <is>
          <t>Main Road</t>
        </is>
      </c>
      <c r="AB5" s="18" t="inlineStr">
        <is>
          <t>Dambar Road</t>
        </is>
      </c>
      <c r="AC5" s="24" t="n">
        <v>2</v>
      </c>
      <c r="AD5" s="27" t="n">
        <v>1200.5</v>
      </c>
      <c r="AE5" s="28" t="n">
        <v>980.25</v>
      </c>
      <c r="AF5" s="28" t="n">
        <v>1760.75</v>
      </c>
      <c r="AG5" s="26" t="inlineStr">
        <is>
          <t>yes</t>
        </is>
      </c>
      <c r="AH5" s="24" t="n">
        <v>1</v>
      </c>
      <c r="AI5" s="18" t="inlineStr">
        <is>
          <t>Government Tap</t>
        </is>
      </c>
      <c r="AJ5" s="18" t="inlineStr">
        <is>
          <t>Sewer System</t>
        </is>
      </c>
      <c r="AK5" s="18" t="inlineStr">
        <is>
          <t>yes</t>
        </is>
      </c>
      <c r="AL5" s="29" t="n">
        <v>27.5583</v>
      </c>
      <c r="AM5" s="30" t="n">
        <v>78.6628</v>
      </c>
    </row>
    <row r="6" ht="22" customHeight="1">
      <c r="A6" s="31">
        <f>IF(COUNTA($B6:$D6,$F6:$AM6)&gt;0,MAX($A$4:A5)+1,"")</f>
        <v/>
      </c>
      <c r="B6" s="32" t="inlineStr">
        <is>
          <t>Draft</t>
        </is>
      </c>
      <c r="C6" s="33" t="inlineStr">
        <is>
          <t>Neha Singh</t>
        </is>
      </c>
      <c r="D6" s="32" t="inlineStr">
        <is>
          <t>2025-2026</t>
        </is>
      </c>
      <c r="E6" s="34">
        <f>IF(OR($L6="",$N6="",TRIM($Y6)=""),"","800797-011-"&amp;TEXT($L6,"0")&amp;"-"&amp;TEXT($N6,"0")&amp;"-"&amp;TRIM($Y6))</f>
        <v/>
      </c>
      <c r="F6" s="35" t="n">
        <v>45841.67361111111</v>
      </c>
      <c r="G6" s="36" t="inlineStr">
        <is>
          <t>Sunrise Traders Pvt Ltd</t>
        </is>
      </c>
      <c r="H6" s="33" t="inlineStr">
        <is>
          <t>N/A</t>
        </is>
      </c>
      <c r="I6" s="37" t="inlineStr">
        <is>
          <t>9123456780</t>
        </is>
      </c>
      <c r="J6" s="33" t="inlineStr">
        <is>
          <t>Ward 3 - Nehru Market</t>
        </is>
      </c>
      <c r="K6" s="32" t="inlineStr">
        <is>
          <t>no</t>
        </is>
      </c>
      <c r="L6" s="38" t="n">
        <v>210</v>
      </c>
      <c r="M6" s="38" t="n">
        <v>2</v>
      </c>
      <c r="N6" s="38" t="n">
        <v>2201</v>
      </c>
      <c r="O6" s="39" t="n">
        <v>42310</v>
      </c>
      <c r="P6" s="33" t="inlineStr">
        <is>
          <t>Sanjay Kapoor</t>
        </is>
      </c>
      <c r="Q6" s="32" t="inlineStr">
        <is>
          <t>Other</t>
        </is>
      </c>
      <c r="R6" s="36" t="inlineStr">
        <is>
          <t>Etah</t>
        </is>
      </c>
      <c r="S6" s="37" t="inlineStr">
        <is>
          <t>207001</t>
        </is>
      </c>
      <c r="T6" s="33" t="inlineStr">
        <is>
          <t>Shop 4</t>
        </is>
      </c>
      <c r="U6" s="33" t="inlineStr">
        <is>
          <t>Nehru Market</t>
        </is>
      </c>
      <c r="V6" s="33" t="inlineStr">
        <is>
          <t>Market Road</t>
        </is>
      </c>
      <c r="W6" s="40" t="inlineStr">
        <is>
          <t>RATE ZONE 2</t>
        </is>
      </c>
      <c r="X6" s="32" t="inlineStr">
        <is>
          <t>Limited Company</t>
        </is>
      </c>
      <c r="Y6" s="32" t="inlineStr">
        <is>
          <t>Commercial</t>
        </is>
      </c>
      <c r="Z6" s="32" t="inlineStr">
        <is>
          <t>Shops/Banks</t>
        </is>
      </c>
      <c r="AA6" s="32" t="inlineStr">
        <is>
          <t>Main Market</t>
        </is>
      </c>
      <c r="AB6" s="32" t="inlineStr">
        <is>
          <t>RCC Road</t>
        </is>
      </c>
      <c r="AC6" s="38" t="n">
        <v>1</v>
      </c>
      <c r="AD6" s="41" t="n">
        <v>850</v>
      </c>
      <c r="AE6" s="42" t="n">
        <v>820.5</v>
      </c>
      <c r="AF6" s="42" t="n">
        <v>820.5</v>
      </c>
      <c r="AG6" s="40" t="inlineStr">
        <is>
          <t>yes</t>
        </is>
      </c>
      <c r="AH6" s="38" t="n">
        <v>2</v>
      </c>
      <c r="AI6" s="32" t="inlineStr">
        <is>
          <t>Government Tap</t>
        </is>
      </c>
      <c r="AJ6" s="32" t="inlineStr">
        <is>
          <t>Septic Tank</t>
        </is>
      </c>
      <c r="AK6" s="32" t="inlineStr">
        <is>
          <t>yes</t>
        </is>
      </c>
      <c r="AL6" s="43" t="n">
        <v>27.5575</v>
      </c>
      <c r="AM6" s="44" t="n">
        <v>78.6631</v>
      </c>
    </row>
    <row r="7" ht="22" customHeight="1">
      <c r="A7" s="17">
        <f>IF(COUNTA($B7:$D7,$F7:$AM7)&gt;0,MAX($A$4:A6)+1,"")</f>
        <v/>
      </c>
      <c r="B7" s="18" t="inlineStr">
        <is>
          <t>Submitted</t>
        </is>
      </c>
      <c r="C7" s="19" t="inlineStr">
        <is>
          <t>Pooja Yadav</t>
        </is>
      </c>
      <c r="D7" s="18" t="inlineStr">
        <is>
          <t>2026-2027</t>
        </is>
      </c>
      <c r="E7" s="20">
        <f>IF(OR($L7="",$N7="",TRIM($Y7)=""),"","800797-011-"&amp;TEXT($L7,"0")&amp;"-"&amp;TEXT($N7,"0")&amp;"-"&amp;TRIM($Y7))</f>
        <v/>
      </c>
      <c r="F7" s="21" t="n">
        <v>46130.38888888889</v>
      </c>
      <c r="G7" s="22" t="inlineStr">
        <is>
          <t>Anita Gupta</t>
        </is>
      </c>
      <c r="H7" s="19" t="inlineStr">
        <is>
          <t>Mahesh Gupta</t>
        </is>
      </c>
      <c r="I7" s="23" t="inlineStr">
        <is>
          <t>9988776655</t>
        </is>
      </c>
      <c r="J7" s="19" t="inlineStr">
        <is>
          <t>Ward 7 - Subhash Nagar</t>
        </is>
      </c>
      <c r="K7" s="18" t="inlineStr">
        <is>
          <t>no</t>
        </is>
      </c>
      <c r="L7" s="24" t="n">
        <v>88</v>
      </c>
      <c r="M7" s="24" t="n">
        <v>1</v>
      </c>
      <c r="N7" s="24" t="n">
        <v>3104</v>
      </c>
      <c r="O7" s="25" t="n">
        <v>40411</v>
      </c>
      <c r="P7" s="19" t="inlineStr">
        <is>
          <t>Rohit Gupta</t>
        </is>
      </c>
      <c r="Q7" s="18" t="inlineStr">
        <is>
          <t>Son</t>
        </is>
      </c>
      <c r="R7" s="22" t="inlineStr">
        <is>
          <t>Etah</t>
        </is>
      </c>
      <c r="S7" s="23" t="inlineStr">
        <is>
          <t>207002</t>
        </is>
      </c>
      <c r="T7" s="19" t="inlineStr">
        <is>
          <t>44/2</t>
        </is>
      </c>
      <c r="U7" s="19" t="inlineStr">
        <is>
          <t>Subhash Nagar</t>
        </is>
      </c>
      <c r="V7" s="19" t="inlineStr">
        <is>
          <t>Gupta Colony</t>
        </is>
      </c>
      <c r="W7" s="26" t="inlineStr">
        <is>
          <t>RATE ZONE 3</t>
        </is>
      </c>
      <c r="X7" s="18" t="inlineStr">
        <is>
          <t>Joint</t>
        </is>
      </c>
      <c r="Y7" s="18" t="inlineStr">
        <is>
          <t>Mix</t>
        </is>
      </c>
      <c r="Z7" s="18" t="inlineStr">
        <is>
          <t>Mix Property</t>
        </is>
      </c>
      <c r="AA7" s="18" t="inlineStr">
        <is>
          <t>Interior</t>
        </is>
      </c>
      <c r="AB7" s="18" t="inlineStr">
        <is>
          <t>Interlocking Road</t>
        </is>
      </c>
      <c r="AC7" s="24" t="n">
        <v>3</v>
      </c>
      <c r="AD7" s="27" t="n">
        <v>1500</v>
      </c>
      <c r="AE7" s="28" t="n">
        <v>1100</v>
      </c>
      <c r="AF7" s="28" t="n">
        <v>2650.4</v>
      </c>
      <c r="AG7" s="26" t="inlineStr">
        <is>
          <t>yes</t>
        </is>
      </c>
      <c r="AH7" s="24" t="n">
        <v>2</v>
      </c>
      <c r="AI7" s="18" t="inlineStr">
        <is>
          <t>Borewell</t>
        </is>
      </c>
      <c r="AJ7" s="18" t="inlineStr">
        <is>
          <t>Sewer System</t>
        </is>
      </c>
      <c r="AK7" s="18" t="inlineStr">
        <is>
          <t>yes</t>
        </is>
      </c>
      <c r="AL7" s="29" t="n">
        <v>27.5591</v>
      </c>
      <c r="AM7" s="30" t="n">
        <v>78.66419999999999</v>
      </c>
    </row>
    <row r="8" ht="22" customHeight="1">
      <c r="A8" s="31">
        <f>IF(COUNTA($B8:$D8,$F8:$AM8)&gt;0,MAX($A$4:A7)+1,"")</f>
        <v/>
      </c>
      <c r="B8" s="32" t="inlineStr">
        <is>
          <t>Approved</t>
        </is>
      </c>
      <c r="C8" s="33" t="inlineStr">
        <is>
          <t>Imran Khan</t>
        </is>
      </c>
      <c r="D8" s="32" t="inlineStr">
        <is>
          <t>2024-2025</t>
        </is>
      </c>
      <c r="E8" s="34">
        <f>IF(OR($L8="",$N8="",TRIM($Y8)=""),"","800797-011-"&amp;TEXT($L8,"0")&amp;"-"&amp;TEXT($N8,"0")&amp;"-"&amp;TRIM($Y8))</f>
        <v/>
      </c>
      <c r="F8" s="35" t="n">
        <v>45697.48958333334</v>
      </c>
      <c r="G8" s="36" t="inlineStr">
        <is>
          <t>Vikram Singh</t>
        </is>
      </c>
      <c r="H8" s="33" t="inlineStr">
        <is>
          <t>Gopal Singh</t>
        </is>
      </c>
      <c r="I8" s="37" t="inlineStr">
        <is>
          <t>9012345678</t>
        </is>
      </c>
      <c r="J8" s="33" t="inlineStr">
        <is>
          <t>Ward 1 - Civil Lines</t>
        </is>
      </c>
      <c r="K8" s="32" t="inlineStr">
        <is>
          <t>no</t>
        </is>
      </c>
      <c r="L8" s="38" t="n">
        <v>45</v>
      </c>
      <c r="M8" s="38" t="n">
        <v>1</v>
      </c>
      <c r="N8" s="38" t="n">
        <v>1180</v>
      </c>
      <c r="O8" s="39" t="n">
        <v>35800</v>
      </c>
      <c r="P8" s="33" t="inlineStr">
        <is>
          <t>Vikram Singh</t>
        </is>
      </c>
      <c r="Q8" s="32" t="inlineStr">
        <is>
          <t>Self</t>
        </is>
      </c>
      <c r="R8" s="36" t="inlineStr">
        <is>
          <t>Etah</t>
        </is>
      </c>
      <c r="S8" s="37" t="inlineStr">
        <is>
          <t>207001</t>
        </is>
      </c>
      <c r="T8" s="33" t="inlineStr">
        <is>
          <t>Plot 9</t>
        </is>
      </c>
      <c r="U8" s="33" t="inlineStr">
        <is>
          <t>Civil Lines</t>
        </is>
      </c>
      <c r="V8" s="33" t="inlineStr">
        <is>
          <t>Officer Colony</t>
        </is>
      </c>
      <c r="W8" s="40" t="inlineStr">
        <is>
          <t>RATE ZONE 4</t>
        </is>
      </c>
      <c r="X8" s="32" t="inlineStr">
        <is>
          <t>Individual (Single/Joint)</t>
        </is>
      </c>
      <c r="Y8" s="32" t="inlineStr">
        <is>
          <t>Open Land</t>
        </is>
      </c>
      <c r="Z8" s="32" t="inlineStr">
        <is>
          <t>Open Land</t>
        </is>
      </c>
      <c r="AA8" s="32" t="inlineStr">
        <is>
          <t>Interior</t>
        </is>
      </c>
      <c r="AB8" s="32" t="inlineStr">
        <is>
          <t>Kachcha Road</t>
        </is>
      </c>
      <c r="AC8" s="38" t="n">
        <v>0</v>
      </c>
      <c r="AD8" s="41" t="n">
        <v>2400</v>
      </c>
      <c r="AE8" s="42" t="n">
        <v>0</v>
      </c>
      <c r="AF8" s="42" t="n">
        <v>0</v>
      </c>
      <c r="AG8" s="40" t="inlineStr">
        <is>
          <t>no</t>
        </is>
      </c>
      <c r="AH8" s="38" t="n">
        <v>0</v>
      </c>
      <c r="AI8" s="32" t="inlineStr">
        <is>
          <t>null</t>
        </is>
      </c>
      <c r="AJ8" s="32" t="inlineStr">
        <is>
          <t>No Toilet</t>
        </is>
      </c>
      <c r="AK8" s="32" t="inlineStr">
        <is>
          <t>no</t>
        </is>
      </c>
      <c r="AL8" s="43" t="n">
        <v>27.5578</v>
      </c>
      <c r="AM8" s="44" t="n">
        <v>78.66119999999999</v>
      </c>
    </row>
    <row r="9" ht="22" customHeight="1">
      <c r="A9" s="17">
        <f>IF(COUNTA($B9:$D9,$F9:$AM9)&gt;0,MAX($A$4:A8)+1,"")</f>
        <v/>
      </c>
      <c r="B9" s="18" t="inlineStr">
        <is>
          <t>Completed</t>
        </is>
      </c>
      <c r="C9" s="19" t="inlineStr">
        <is>
          <t>Amit Verma</t>
        </is>
      </c>
      <c r="D9" s="18" t="inlineStr">
        <is>
          <t>2025-2026</t>
        </is>
      </c>
      <c r="E9" s="20">
        <f>IF(OR($L9="",$N9="",TRIM($Y9)=""),"","800797-011-"&amp;TEXT($L9,"0")&amp;"-"&amp;TEXT($N9,"0")&amp;"-"&amp;TRIM($Y9))</f>
        <v/>
      </c>
      <c r="F9" s="21" t="n">
        <v>45891.58680555555</v>
      </c>
      <c r="G9" s="22" t="inlineStr">
        <is>
          <t>Sunita Devi</t>
        </is>
      </c>
      <c r="H9" s="19" t="inlineStr">
        <is>
          <t>Hari Prasad</t>
        </is>
      </c>
      <c r="I9" s="23" t="inlineStr">
        <is>
          <t>9765432109</t>
        </is>
      </c>
      <c r="J9" s="19" t="inlineStr">
        <is>
          <t>Ward 11 - Gandhi Nagar</t>
        </is>
      </c>
      <c r="K9" s="18" t="inlineStr">
        <is>
          <t>no</t>
        </is>
      </c>
      <c r="L9" s="24" t="n">
        <v>312</v>
      </c>
      <c r="M9" s="24" t="n">
        <v>3</v>
      </c>
      <c r="N9" s="24" t="n">
        <v>5612</v>
      </c>
      <c r="O9" s="25" t="n">
        <v>43281</v>
      </c>
      <c r="P9" s="19" t="inlineStr">
        <is>
          <t>Sunita Devi</t>
        </is>
      </c>
      <c r="Q9" s="18" t="inlineStr">
        <is>
          <t>Wife</t>
        </is>
      </c>
      <c r="R9" s="22" t="inlineStr">
        <is>
          <t>Etah</t>
        </is>
      </c>
      <c r="S9" s="23" t="inlineStr">
        <is>
          <t>207001</t>
        </is>
      </c>
      <c r="T9" s="19" t="inlineStr">
        <is>
          <t>7/B</t>
        </is>
      </c>
      <c r="U9" s="19" t="inlineStr">
        <is>
          <t>Bazaar Road</t>
        </is>
      </c>
      <c r="V9" s="19" t="inlineStr">
        <is>
          <t>New Market</t>
        </is>
      </c>
      <c r="W9" s="26" t="inlineStr">
        <is>
          <t>RATE ZONE 1</t>
        </is>
      </c>
      <c r="X9" s="18" t="inlineStr">
        <is>
          <t>Individual (Single/Joint)</t>
        </is>
      </c>
      <c r="Y9" s="18" t="inlineStr">
        <is>
          <t>Shop Bakery</t>
        </is>
      </c>
      <c r="Z9" s="18" t="inlineStr">
        <is>
          <t>Bakery</t>
        </is>
      </c>
      <c r="AA9" s="18" t="inlineStr">
        <is>
          <t>Main Market</t>
        </is>
      </c>
      <c r="AB9" s="18" t="inlineStr">
        <is>
          <t>Dambar Road</t>
        </is>
      </c>
      <c r="AC9" s="24" t="n">
        <v>1</v>
      </c>
      <c r="AD9" s="27" t="n">
        <v>420.75</v>
      </c>
      <c r="AE9" s="28" t="n">
        <v>400.5</v>
      </c>
      <c r="AF9" s="28" t="n">
        <v>400.5</v>
      </c>
      <c r="AG9" s="26" t="inlineStr">
        <is>
          <t>yes</t>
        </is>
      </c>
      <c r="AH9" s="24" t="n">
        <v>1</v>
      </c>
      <c r="AI9" s="18" t="inlineStr">
        <is>
          <t>Government Tap</t>
        </is>
      </c>
      <c r="AJ9" s="18" t="inlineStr">
        <is>
          <t>Connected to Specific Tank</t>
        </is>
      </c>
      <c r="AK9" s="18" t="inlineStr">
        <is>
          <t>yes</t>
        </is>
      </c>
      <c r="AL9" s="29" t="n">
        <v>27.5589</v>
      </c>
      <c r="AM9" s="30" t="n">
        <v>78.66540000000001</v>
      </c>
    </row>
    <row r="10" ht="22" customHeight="1">
      <c r="A10" s="31">
        <f>IF(COUNTA($B10:$D10,$F10:$AM10)&gt;0,MAX($A$4:A9)+1,"")</f>
        <v/>
      </c>
      <c r="B10" s="32" t="inlineStr">
        <is>
          <t>Draft</t>
        </is>
      </c>
      <c r="C10" s="33" t="inlineStr">
        <is>
          <t>Kavita Joshi</t>
        </is>
      </c>
      <c r="D10" s="32" t="inlineStr">
        <is>
          <t>2026-2027</t>
        </is>
      </c>
      <c r="E10" s="34">
        <f>IF(OR($L10="",$N10="",TRIM($Y10)=""),"","800797-011-"&amp;TEXT($L10,"0")&amp;"-"&amp;TEXT($N10,"0")&amp;"-"&amp;TRIM($Y10))</f>
        <v/>
      </c>
      <c r="F10" s="35" t="n">
        <v>46144.52777777778</v>
      </c>
      <c r="G10" s="36" t="inlineStr">
        <is>
          <t>Saraswati Education Trust</t>
        </is>
      </c>
      <c r="H10" s="33" t="inlineStr">
        <is>
          <t>N/A</t>
        </is>
      </c>
      <c r="I10" s="37" t="inlineStr">
        <is>
          <t>8899001122</t>
        </is>
      </c>
      <c r="J10" s="33" t="inlineStr">
        <is>
          <t>Ward 5 - Jawahar Nagar</t>
        </is>
      </c>
      <c r="K10" s="32" t="inlineStr">
        <is>
          <t>no</t>
        </is>
      </c>
      <c r="L10" s="38" t="n">
        <v>67</v>
      </c>
      <c r="M10" s="38" t="n">
        <v>1</v>
      </c>
      <c r="N10" s="38" t="n">
        <v>880</v>
      </c>
      <c r="O10" s="39" t="n">
        <v>37146</v>
      </c>
      <c r="P10" s="33" t="inlineStr">
        <is>
          <t>Meena Kumari</t>
        </is>
      </c>
      <c r="Q10" s="32" t="inlineStr">
        <is>
          <t>Other</t>
        </is>
      </c>
      <c r="R10" s="36" t="inlineStr">
        <is>
          <t>Etah</t>
        </is>
      </c>
      <c r="S10" s="37" t="inlineStr">
        <is>
          <t>207003</t>
        </is>
      </c>
      <c r="T10" s="33" t="inlineStr">
        <is>
          <t>School Campus</t>
        </is>
      </c>
      <c r="U10" s="33" t="inlineStr">
        <is>
          <t>Jawahar Nagar</t>
        </is>
      </c>
      <c r="V10" s="33" t="inlineStr">
        <is>
          <t>Education Hub</t>
        </is>
      </c>
      <c r="W10" s="40" t="inlineStr">
        <is>
          <t>RATE ZONE 2</t>
        </is>
      </c>
      <c r="X10" s="32" t="inlineStr">
        <is>
          <t>Trust Society</t>
        </is>
      </c>
      <c r="Y10" s="32" t="inlineStr">
        <is>
          <t>School College</t>
        </is>
      </c>
      <c r="Z10" s="32" t="inlineStr">
        <is>
          <t>School College</t>
        </is>
      </c>
      <c r="AA10" s="32" t="inlineStr">
        <is>
          <t>Main Road</t>
        </is>
      </c>
      <c r="AB10" s="32" t="inlineStr">
        <is>
          <t>RCC Road</t>
        </is>
      </c>
      <c r="AC10" s="38" t="n">
        <v>3</v>
      </c>
      <c r="AD10" s="41" t="n">
        <v>18000</v>
      </c>
      <c r="AE10" s="42" t="n">
        <v>12500</v>
      </c>
      <c r="AF10" s="42" t="n">
        <v>28450.5</v>
      </c>
      <c r="AG10" s="40" t="inlineStr">
        <is>
          <t>yes</t>
        </is>
      </c>
      <c r="AH10" s="38" t="n">
        <v>4</v>
      </c>
      <c r="AI10" s="32" t="inlineStr">
        <is>
          <t>Government Tap</t>
        </is>
      </c>
      <c r="AJ10" s="32" t="inlineStr">
        <is>
          <t>Sewer System</t>
        </is>
      </c>
      <c r="AK10" s="32" t="inlineStr">
        <is>
          <t>yes</t>
        </is>
      </c>
      <c r="AL10" s="43" t="n">
        <v>27.5562</v>
      </c>
      <c r="AM10" s="44" t="n">
        <v>78.66079999999999</v>
      </c>
    </row>
    <row r="11" ht="22" customHeight="1">
      <c r="A11" s="17">
        <f>IF(COUNTA($B11:$D11,$F11:$AM11)&gt;0,MAX($A$4:A10)+1,"")</f>
        <v/>
      </c>
      <c r="B11" s="18" t="inlineStr">
        <is>
          <t>Submitted</t>
        </is>
      </c>
      <c r="C11" s="19" t="inlineStr">
        <is>
          <t>Ravi Chauhan</t>
        </is>
      </c>
      <c r="D11" s="18" t="inlineStr">
        <is>
          <t>2025-2026</t>
        </is>
      </c>
      <c r="E11" s="20">
        <f>IF(OR($L11="",$N11="",TRIM($Y11)=""),"","800797-011-"&amp;TEXT($L11,"0")&amp;"-"&amp;TEXT($N11,"0")&amp;"-"&amp;TRIM($Y11))</f>
        <v/>
      </c>
      <c r="F11" s="21" t="n">
        <v>45914.71875</v>
      </c>
      <c r="G11" s="22" t="inlineStr">
        <is>
          <t>Abdul Karim</t>
        </is>
      </c>
      <c r="H11" s="19" t="inlineStr">
        <is>
          <t>Mohammed Yusuf</t>
        </is>
      </c>
      <c r="I11" s="23" t="inlineStr">
        <is>
          <t>9345678123</t>
        </is>
      </c>
      <c r="J11" s="19" t="inlineStr">
        <is>
          <t>Ward 9 - Basti Area</t>
        </is>
      </c>
      <c r="K11" s="18" t="inlineStr">
        <is>
          <t>yes</t>
        </is>
      </c>
      <c r="L11" s="24" t="n">
        <v>401</v>
      </c>
      <c r="M11" s="24" t="n">
        <v>1</v>
      </c>
      <c r="N11" s="24" t="n">
        <v>102</v>
      </c>
      <c r="O11" s="25" t="n">
        <v>34797</v>
      </c>
      <c r="P11" s="19" t="inlineStr">
        <is>
          <t>Farhan Ali</t>
        </is>
      </c>
      <c r="Q11" s="18" t="inlineStr">
        <is>
          <t>Neighbour</t>
        </is>
      </c>
      <c r="R11" s="22" t="inlineStr">
        <is>
          <t>Etah</t>
        </is>
      </c>
      <c r="S11" s="23" t="inlineStr">
        <is>
          <t>207002</t>
        </is>
      </c>
      <c r="T11" s="19" t="inlineStr">
        <is>
          <t>Hut 18</t>
        </is>
      </c>
      <c r="U11" s="19" t="inlineStr">
        <is>
          <t>Basti Area</t>
        </is>
      </c>
      <c r="V11" s="19" t="inlineStr">
        <is>
          <t>Ambedkar Basti</t>
        </is>
      </c>
      <c r="W11" s="26" t="inlineStr">
        <is>
          <t>RATE ZONE 4</t>
        </is>
      </c>
      <c r="X11" s="18" t="inlineStr">
        <is>
          <t>Individual (Single/Joint)</t>
        </is>
      </c>
      <c r="Y11" s="18" t="inlineStr">
        <is>
          <t>Residential</t>
        </is>
      </c>
      <c r="Z11" s="18" t="inlineStr">
        <is>
          <t>Residential Rented</t>
        </is>
      </c>
      <c r="AA11" s="18" t="inlineStr">
        <is>
          <t>Slum</t>
        </is>
      </c>
      <c r="AB11" s="18" t="inlineStr">
        <is>
          <t>Kaccha</t>
        </is>
      </c>
      <c r="AC11" s="24" t="n">
        <v>1</v>
      </c>
      <c r="AD11" s="27" t="n">
        <v>360</v>
      </c>
      <c r="AE11" s="28" t="n">
        <v>320</v>
      </c>
      <c r="AF11" s="28" t="n">
        <v>320</v>
      </c>
      <c r="AG11" s="26" t="inlineStr">
        <is>
          <t>no</t>
        </is>
      </c>
      <c r="AH11" s="24" t="n">
        <v>1</v>
      </c>
      <c r="AI11" s="18" t="inlineStr">
        <is>
          <t>Dug well</t>
        </is>
      </c>
      <c r="AJ11" s="18" t="inlineStr">
        <is>
          <t>Dry/Bucket Latrine</t>
        </is>
      </c>
      <c r="AK11" s="18" t="inlineStr">
        <is>
          <t>no</t>
        </is>
      </c>
      <c r="AL11" s="29" t="n">
        <v>27.5554</v>
      </c>
      <c r="AM11" s="30" t="n">
        <v>78.6671</v>
      </c>
    </row>
    <row r="12" ht="22" customHeight="1">
      <c r="A12" s="31">
        <f>IF(COUNTA($B12:$D12,$F12:$AM12)&gt;0,MAX($A$4:A11)+1,"")</f>
        <v/>
      </c>
      <c r="B12" s="32" t="inlineStr">
        <is>
          <t>Approved</t>
        </is>
      </c>
      <c r="C12" s="33" t="inlineStr">
        <is>
          <t>Neha Singh</t>
        </is>
      </c>
      <c r="D12" s="32" t="inlineStr">
        <is>
          <t>2024-2025</t>
        </is>
      </c>
      <c r="E12" s="34">
        <f>IF(OR($L12="",$N12="",TRIM($Y12)=""),"","800797-011-"&amp;TEXT($L12,"0")&amp;"-"&amp;TEXT($N12,"0")&amp;"-"&amp;TRIM($Y12))</f>
        <v/>
      </c>
      <c r="F12" s="35" t="n">
        <v>45685.57986111111</v>
      </c>
      <c r="G12" s="36" t="inlineStr">
        <is>
          <t>Royal Banquet Pvt Ltd</t>
        </is>
      </c>
      <c r="H12" s="33" t="inlineStr">
        <is>
          <t>N/A</t>
        </is>
      </c>
      <c r="I12" s="37" t="inlineStr">
        <is>
          <t>9811122233</t>
        </is>
      </c>
      <c r="J12" s="33" t="inlineStr">
        <is>
          <t>Ward 2 - Station Road</t>
        </is>
      </c>
      <c r="K12" s="32" t="inlineStr">
        <is>
          <t>no</t>
        </is>
      </c>
      <c r="L12" s="38" t="n">
        <v>156</v>
      </c>
      <c r="M12" s="38" t="n">
        <v>1</v>
      </c>
      <c r="N12" s="38" t="n">
        <v>7741</v>
      </c>
      <c r="O12" s="39" t="n">
        <v>43800</v>
      </c>
      <c r="P12" s="33" t="inlineStr">
        <is>
          <t>Priya Verma</t>
        </is>
      </c>
      <c r="Q12" s="32" t="inlineStr">
        <is>
          <t>Other</t>
        </is>
      </c>
      <c r="R12" s="36" t="inlineStr">
        <is>
          <t>Etah</t>
        </is>
      </c>
      <c r="S12" s="37" t="inlineStr">
        <is>
          <t>207001</t>
        </is>
      </c>
      <c r="T12" s="33" t="inlineStr">
        <is>
          <t>NH-34, Plot 6</t>
        </is>
      </c>
      <c r="U12" s="33" t="inlineStr">
        <is>
          <t>Station Road</t>
        </is>
      </c>
      <c r="V12" s="33" t="inlineStr">
        <is>
          <t>Highway Complex</t>
        </is>
      </c>
      <c r="W12" s="40" t="inlineStr">
        <is>
          <t>RATE ZONE 1</t>
        </is>
      </c>
      <c r="X12" s="32" t="inlineStr">
        <is>
          <t>Limited Company</t>
        </is>
      </c>
      <c r="Y12" s="32" t="inlineStr">
        <is>
          <t>Hotel/Restaurant/Marriage Garden</t>
        </is>
      </c>
      <c r="Z12" s="32" t="inlineStr">
        <is>
          <t>Hotel/Restaurant/Marriage Garden</t>
        </is>
      </c>
      <c r="AA12" s="32" t="inlineStr">
        <is>
          <t>Main Road</t>
        </is>
      </c>
      <c r="AB12" s="32" t="inlineStr">
        <is>
          <t>Dambar Road</t>
        </is>
      </c>
      <c r="AC12" s="38" t="n">
        <v>2</v>
      </c>
      <c r="AD12" s="41" t="n">
        <v>9200</v>
      </c>
      <c r="AE12" s="42" t="n">
        <v>4800</v>
      </c>
      <c r="AF12" s="42" t="n">
        <v>7600.25</v>
      </c>
      <c r="AG12" s="40" t="inlineStr">
        <is>
          <t>yes</t>
        </is>
      </c>
      <c r="AH12" s="38" t="n">
        <v>3</v>
      </c>
      <c r="AI12" s="32" t="inlineStr">
        <is>
          <t>Borewell</t>
        </is>
      </c>
      <c r="AJ12" s="32" t="inlineStr">
        <is>
          <t>Sewer System</t>
        </is>
      </c>
      <c r="AK12" s="32" t="inlineStr">
        <is>
          <t>yes</t>
        </is>
      </c>
      <c r="AL12" s="43" t="n">
        <v>27.5602</v>
      </c>
      <c r="AM12" s="44" t="n">
        <v>78.6589</v>
      </c>
    </row>
    <row r="13" ht="22" customHeight="1">
      <c r="A13" s="17">
        <f>IF(COUNTA($B13:$D13,$F13:$AM13)&gt;0,MAX($A$4:A12)+1,"")</f>
        <v/>
      </c>
      <c r="B13" s="18" t="inlineStr">
        <is>
          <t>Completed</t>
        </is>
      </c>
      <c r="C13" s="19" t="inlineStr">
        <is>
          <t>Imran Khan</t>
        </is>
      </c>
      <c r="D13" s="18" t="inlineStr">
        <is>
          <t>2025-2026</t>
        </is>
      </c>
      <c r="E13" s="20">
        <f>IF(OR($L13="",$N13="",TRIM($Y13)=""),"","800797-011-"&amp;TEXT($L13,"0")&amp;"-"&amp;TEXT($N13,"0")&amp;"-"&amp;TRIM($Y13))</f>
        <v/>
      </c>
      <c r="F13" s="21" t="n">
        <v>45935.36805555555</v>
      </c>
      <c r="G13" s="22" t="inlineStr">
        <is>
          <t>Shri Ram Mandir Committee</t>
        </is>
      </c>
      <c r="H13" s="19" t="inlineStr">
        <is>
          <t>N/A</t>
        </is>
      </c>
      <c r="I13" s="23" t="inlineStr">
        <is>
          <t>9456123780</t>
        </is>
      </c>
      <c r="J13" s="19" t="inlineStr">
        <is>
          <t>Ward 8 - Mandir Ward</t>
        </is>
      </c>
      <c r="K13" s="18" t="inlineStr">
        <is>
          <t>no</t>
        </is>
      </c>
      <c r="L13" s="24" t="n">
        <v>22</v>
      </c>
      <c r="M13" s="24" t="n">
        <v>1</v>
      </c>
      <c r="N13" s="24" t="n">
        <v>19</v>
      </c>
      <c r="O13" s="25" t="n">
        <v>26347</v>
      </c>
      <c r="P13" s="19" t="inlineStr">
        <is>
          <t>Suresh Chandra</t>
        </is>
      </c>
      <c r="Q13" s="18" t="inlineStr">
        <is>
          <t>Other</t>
        </is>
      </c>
      <c r="R13" s="22" t="inlineStr">
        <is>
          <t>Etah</t>
        </is>
      </c>
      <c r="S13" s="23" t="inlineStr">
        <is>
          <t>207001</t>
        </is>
      </c>
      <c r="T13" s="19" t="inlineStr">
        <is>
          <t>Mandir Complex</t>
        </is>
      </c>
      <c r="U13" s="19" t="inlineStr">
        <is>
          <t>Old Town</t>
        </is>
      </c>
      <c r="V13" s="19" t="inlineStr">
        <is>
          <t>Mandir Gali</t>
        </is>
      </c>
      <c r="W13" s="26" t="inlineStr">
        <is>
          <t>RATE ZONE 3</t>
        </is>
      </c>
      <c r="X13" s="18" t="inlineStr">
        <is>
          <t>Religious Body</t>
        </is>
      </c>
      <c r="Y13" s="18" t="inlineStr">
        <is>
          <t>Mandir</t>
        </is>
      </c>
      <c r="Z13" s="18" t="inlineStr">
        <is>
          <t>Mandir</t>
        </is>
      </c>
      <c r="AA13" s="18" t="inlineStr">
        <is>
          <t>Interior</t>
        </is>
      </c>
      <c r="AB13" s="18" t="inlineStr">
        <is>
          <t>Interlocking Road</t>
        </is>
      </c>
      <c r="AC13" s="24" t="n">
        <v>1</v>
      </c>
      <c r="AD13" s="27" t="n">
        <v>3100</v>
      </c>
      <c r="AE13" s="28" t="n">
        <v>1450</v>
      </c>
      <c r="AF13" s="28" t="n">
        <v>1450</v>
      </c>
      <c r="AG13" s="26" t="inlineStr">
        <is>
          <t>yes</t>
        </is>
      </c>
      <c r="AH13" s="24" t="n">
        <v>1</v>
      </c>
      <c r="AI13" s="18" t="inlineStr">
        <is>
          <t>Other</t>
        </is>
      </c>
      <c r="AJ13" s="18" t="inlineStr">
        <is>
          <t>Pour-flush pit latrine</t>
        </is>
      </c>
      <c r="AK13" s="18" t="inlineStr">
        <is>
          <t>yes</t>
        </is>
      </c>
      <c r="AL13" s="29" t="n">
        <v>27.5586</v>
      </c>
      <c r="AM13" s="30" t="n">
        <v>78.66379999999999</v>
      </c>
    </row>
    <row r="14" ht="22" customHeight="1">
      <c r="A14" s="31">
        <f>IF(COUNTA($B14:$D14,$F14:$AM14)&gt;0,MAX($A$4:A13)+1,"")</f>
        <v/>
      </c>
      <c r="B14" s="32" t="inlineStr">
        <is>
          <t>Draft</t>
        </is>
      </c>
      <c r="C14" s="33" t="inlineStr">
        <is>
          <t>Pooja Yadav</t>
        </is>
      </c>
      <c r="D14" s="32" t="inlineStr">
        <is>
          <t>2026-2027</t>
        </is>
      </c>
      <c r="E14" s="34">
        <f>IF(OR($L14="",$N14="",TRIM($Y14)=""),"","800797-011-"&amp;TEXT($L14,"0")&amp;"-"&amp;TEXT($N14,"0")&amp;"-"&amp;TRIM($Y14))</f>
        <v/>
      </c>
      <c r="F14" s="35" t="n">
        <v>46139.64236111111</v>
      </c>
      <c r="G14" s="36" t="inlineStr">
        <is>
          <t>Agro Mill Industries</t>
        </is>
      </c>
      <c r="H14" s="33" t="inlineStr">
        <is>
          <t>N/A</t>
        </is>
      </c>
      <c r="I14" s="37" t="inlineStr">
        <is>
          <t>9001122334</t>
        </is>
      </c>
      <c r="J14" s="33" t="inlineStr">
        <is>
          <t>Ward 4 - Industrial Area</t>
        </is>
      </c>
      <c r="K14" s="32" t="inlineStr">
        <is>
          <t>no</t>
        </is>
      </c>
      <c r="L14" s="38" t="n">
        <v>890</v>
      </c>
      <c r="M14" s="38" t="n">
        <v>5</v>
      </c>
      <c r="N14" s="38" t="n">
        <v>6402</v>
      </c>
      <c r="O14" s="39" t="n">
        <v>41109</v>
      </c>
      <c r="P14" s="33" t="inlineStr">
        <is>
          <t>Deepak Yadav</t>
        </is>
      </c>
      <c r="Q14" s="32" t="inlineStr">
        <is>
          <t>Other</t>
        </is>
      </c>
      <c r="R14" s="36" t="inlineStr">
        <is>
          <t>Etah</t>
        </is>
      </c>
      <c r="S14" s="37" t="inlineStr">
        <is>
          <t>207003</t>
        </is>
      </c>
      <c r="T14" s="33" t="inlineStr">
        <is>
          <t>Shed 11</t>
        </is>
      </c>
      <c r="U14" s="33" t="inlineStr">
        <is>
          <t>Industrial Area</t>
        </is>
      </c>
      <c r="V14" s="33" t="inlineStr">
        <is>
          <t>SIDCUL Cluster</t>
        </is>
      </c>
      <c r="W14" s="40" t="inlineStr">
        <is>
          <t>RATE ZONE 2</t>
        </is>
      </c>
      <c r="X14" s="32" t="inlineStr">
        <is>
          <t>Limited Company</t>
        </is>
      </c>
      <c r="Y14" s="32" t="inlineStr">
        <is>
          <t>Industrial/Factory</t>
        </is>
      </c>
      <c r="Z14" s="32" t="inlineStr">
        <is>
          <t>Industrial/Factory</t>
        </is>
      </c>
      <c r="AA14" s="32" t="inlineStr">
        <is>
          <t>Main Road</t>
        </is>
      </c>
      <c r="AB14" s="32" t="inlineStr">
        <is>
          <t>RCC Road</t>
        </is>
      </c>
      <c r="AC14" s="38" t="n">
        <v>1</v>
      </c>
      <c r="AD14" s="41" t="n">
        <v>14500</v>
      </c>
      <c r="AE14" s="42" t="n">
        <v>9800</v>
      </c>
      <c r="AF14" s="42" t="n">
        <v>11200.8</v>
      </c>
      <c r="AG14" s="40" t="inlineStr">
        <is>
          <t>yes</t>
        </is>
      </c>
      <c r="AH14" s="38" t="n">
        <v>3</v>
      </c>
      <c r="AI14" s="32" t="inlineStr">
        <is>
          <t>Borewell</t>
        </is>
      </c>
      <c r="AJ14" s="32" t="inlineStr">
        <is>
          <t>Septic Tank</t>
        </is>
      </c>
      <c r="AK14" s="32" t="inlineStr">
        <is>
          <t>yes</t>
        </is>
      </c>
      <c r="AL14" s="43" t="n">
        <v>27.5571</v>
      </c>
      <c r="AM14" s="44" t="n">
        <v>78.66630000000001</v>
      </c>
    </row>
    <row r="15" ht="22" customHeight="1">
      <c r="A15" s="17">
        <f>IF(COUNTA($B15:$D15,$F15:$AM15)&gt;0,MAX($A$4:A14)+1,"")</f>
        <v/>
      </c>
      <c r="B15" s="18" t="inlineStr">
        <is>
          <t>Submitted</t>
        </is>
      </c>
      <c r="C15" s="19" t="inlineStr">
        <is>
          <t>Kavita Joshi</t>
        </is>
      </c>
      <c r="D15" s="18" t="inlineStr">
        <is>
          <t>2025-2026</t>
        </is>
      </c>
      <c r="E15" s="20">
        <f>IF(OR($L15="",$N15="",TRIM($Y15)=""),"","800797-011-"&amp;TEXT($L15,"0")&amp;"-"&amp;TEXT($N15,"0")&amp;"-"&amp;TRIM($Y15))</f>
        <v/>
      </c>
      <c r="F15" s="21" t="n">
        <v>45972.42013888889</v>
      </c>
      <c r="G15" s="22" t="inlineStr">
        <is>
          <t>City Care Hospital Trust</t>
        </is>
      </c>
      <c r="H15" s="19" t="inlineStr">
        <is>
          <t>N/A</t>
        </is>
      </c>
      <c r="I15" s="23" t="inlineStr">
        <is>
          <t>9877001122</t>
        </is>
      </c>
      <c r="J15" s="19" t="inlineStr">
        <is>
          <t>Ward 6 - Hospital Road</t>
        </is>
      </c>
      <c r="K15" s="18" t="inlineStr">
        <is>
          <t>no</t>
        </is>
      </c>
      <c r="L15" s="24" t="n">
        <v>333</v>
      </c>
      <c r="M15" s="24" t="n">
        <v>1</v>
      </c>
      <c r="N15" s="24" t="n">
        <v>2500</v>
      </c>
      <c r="O15" s="25" t="n">
        <v>42499</v>
      </c>
      <c r="P15" s="19" t="inlineStr">
        <is>
          <t>Dr. Rajesh Patel</t>
        </is>
      </c>
      <c r="Q15" s="18" t="inlineStr">
        <is>
          <t>Other</t>
        </is>
      </c>
      <c r="R15" s="22" t="inlineStr">
        <is>
          <t>Etah</t>
        </is>
      </c>
      <c r="S15" s="23" t="inlineStr">
        <is>
          <t>207001</t>
        </is>
      </c>
      <c r="T15" s="19" t="inlineStr">
        <is>
          <t>Plot 21</t>
        </is>
      </c>
      <c r="U15" s="19" t="inlineStr">
        <is>
          <t>Hospital Road</t>
        </is>
      </c>
      <c r="V15" s="19" t="inlineStr">
        <is>
          <t>Medical Campus</t>
        </is>
      </c>
      <c r="W15" s="26" t="inlineStr">
        <is>
          <t>RATE ZONE 1</t>
        </is>
      </c>
      <c r="X15" s="18" t="inlineStr">
        <is>
          <t>Trust Society</t>
        </is>
      </c>
      <c r="Y15" s="18" t="inlineStr">
        <is>
          <t>Hospital Nursing Pathology</t>
        </is>
      </c>
      <c r="Z15" s="18" t="inlineStr">
        <is>
          <t>Hospital Nursing Pathology</t>
        </is>
      </c>
      <c r="AA15" s="18" t="inlineStr">
        <is>
          <t>Main Road</t>
        </is>
      </c>
      <c r="AB15" s="18" t="inlineStr">
        <is>
          <t>Dambar Road</t>
        </is>
      </c>
      <c r="AC15" s="24" t="n">
        <v>4</v>
      </c>
      <c r="AD15" s="27" t="n">
        <v>22000</v>
      </c>
      <c r="AE15" s="28" t="n">
        <v>14000</v>
      </c>
      <c r="AF15" s="28" t="n">
        <v>38500</v>
      </c>
      <c r="AG15" s="26" t="inlineStr">
        <is>
          <t>yes</t>
        </is>
      </c>
      <c r="AH15" s="24" t="n">
        <v>6</v>
      </c>
      <c r="AI15" s="18" t="inlineStr">
        <is>
          <t>Government Tap</t>
        </is>
      </c>
      <c r="AJ15" s="18" t="inlineStr">
        <is>
          <t>Sewer System</t>
        </is>
      </c>
      <c r="AK15" s="18" t="inlineStr">
        <is>
          <t>yes</t>
        </is>
      </c>
      <c r="AL15" s="29" t="n">
        <v>27.561</v>
      </c>
      <c r="AM15" s="30" t="n">
        <v>78.65940000000001</v>
      </c>
    </row>
    <row r="16" ht="22" customHeight="1">
      <c r="A16" s="31">
        <f>IF(COUNTA($B16:$D16,$F16:$AM16)&gt;0,MAX($A$4:A15)+1,"")</f>
        <v/>
      </c>
      <c r="B16" s="32" t="inlineStr">
        <is>
          <t>Approved</t>
        </is>
      </c>
      <c r="C16" s="33" t="inlineStr">
        <is>
          <t>Ravi Chauhan</t>
        </is>
      </c>
      <c r="D16" s="32" t="inlineStr">
        <is>
          <t>2024-2025</t>
        </is>
      </c>
      <c r="E16" s="34">
        <f>IF(OR($L16="",$N16="",TRIM($Y16)=""),"","800797-011-"&amp;TEXT($L16,"0")&amp;"-"&amp;TEXT($N16,"0")&amp;"-"&amp;TRIM($Y16))</f>
        <v/>
      </c>
      <c r="F16" s="35" t="n">
        <v>45722.40277777778</v>
      </c>
      <c r="G16" s="36" t="inlineStr">
        <is>
          <t>Kiran Patel</t>
        </is>
      </c>
      <c r="H16" s="33" t="inlineStr">
        <is>
          <t>Ramesh Patel</t>
        </is>
      </c>
      <c r="I16" s="37" t="inlineStr">
        <is>
          <t>9654321098</t>
        </is>
      </c>
      <c r="J16" s="33" t="inlineStr">
        <is>
          <t>Ward 10 - Godown Area</t>
        </is>
      </c>
      <c r="K16" s="32" t="inlineStr">
        <is>
          <t>no</t>
        </is>
      </c>
      <c r="L16" s="38" t="n">
        <v>178</v>
      </c>
      <c r="M16" s="38" t="n">
        <v>2</v>
      </c>
      <c r="N16" s="38" t="n">
        <v>4330</v>
      </c>
      <c r="O16" s="39" t="n">
        <v>38648</v>
      </c>
      <c r="P16" s="33" t="inlineStr">
        <is>
          <t>Kiran Patel</t>
        </is>
      </c>
      <c r="Q16" s="32" t="inlineStr">
        <is>
          <t>Self</t>
        </is>
      </c>
      <c r="R16" s="36" t="inlineStr">
        <is>
          <t>Etah</t>
        </is>
      </c>
      <c r="S16" s="37" t="inlineStr">
        <is>
          <t>207002</t>
        </is>
      </c>
      <c r="T16" s="33" t="inlineStr">
        <is>
          <t>Warehouse 3</t>
        </is>
      </c>
      <c r="U16" s="33" t="inlineStr">
        <is>
          <t>Transport Nagar</t>
        </is>
      </c>
      <c r="V16" s="33" t="inlineStr">
        <is>
          <t>Godown Cluster</t>
        </is>
      </c>
      <c r="W16" s="40" t="inlineStr">
        <is>
          <t>RATE ZONE 3</t>
        </is>
      </c>
      <c r="X16" s="32" t="inlineStr">
        <is>
          <t>Individual (Single/Joint)</t>
        </is>
      </c>
      <c r="Y16" s="32" t="inlineStr">
        <is>
          <t>Godown</t>
        </is>
      </c>
      <c r="Z16" s="32" t="inlineStr">
        <is>
          <t>Godown</t>
        </is>
      </c>
      <c r="AA16" s="32" t="inlineStr">
        <is>
          <t>Interior</t>
        </is>
      </c>
      <c r="AB16" s="32" t="inlineStr">
        <is>
          <t>Rcc</t>
        </is>
      </c>
      <c r="AC16" s="38" t="n">
        <v>1</v>
      </c>
      <c r="AD16" s="41" t="n">
        <v>6400</v>
      </c>
      <c r="AE16" s="42" t="n">
        <v>6100</v>
      </c>
      <c r="AF16" s="42" t="n">
        <v>6100</v>
      </c>
      <c r="AG16" s="40" t="inlineStr">
        <is>
          <t>no</t>
        </is>
      </c>
      <c r="AH16" s="38" t="n">
        <v>1</v>
      </c>
      <c r="AI16" s="32" t="inlineStr">
        <is>
          <t>Other</t>
        </is>
      </c>
      <c r="AJ16" s="32" t="inlineStr">
        <is>
          <t>Connected to Surface Drains</t>
        </is>
      </c>
      <c r="AK16" s="32" t="inlineStr">
        <is>
          <t>no</t>
        </is>
      </c>
      <c r="AL16" s="43" t="n">
        <v>27.5568</v>
      </c>
      <c r="AM16" s="44" t="n">
        <v>78.6649</v>
      </c>
    </row>
    <row r="17" ht="22" customHeight="1">
      <c r="A17" s="17">
        <f>IF(COUNTA($B17:$D17,$F17:$AM17)&gt;0,MAX($A$4:A16)+1,"")</f>
        <v/>
      </c>
      <c r="B17" s="18" t="inlineStr">
        <is>
          <t>Completed</t>
        </is>
      </c>
      <c r="C17" s="19" t="inlineStr">
        <is>
          <t>Amit Verma</t>
        </is>
      </c>
      <c r="D17" s="18" t="inlineStr">
        <is>
          <t>2025-2026</t>
        </is>
      </c>
      <c r="E17" s="20">
        <f>IF(OR($L17="",$N17="",TRIM($Y17)=""),"","800797-011-"&amp;TEXT($L17,"0")&amp;"-"&amp;TEXT($N17,"0")&amp;"-"&amp;TRIM($Y17))</f>
        <v/>
      </c>
      <c r="F17" s="21" t="n">
        <v>45992.47083333333</v>
      </c>
      <c r="G17" s="22" t="inlineStr">
        <is>
          <t>Meena Kumari</t>
        </is>
      </c>
      <c r="H17" s="19" t="inlineStr">
        <is>
          <t>Shiv Prasad</t>
        </is>
      </c>
      <c r="I17" s="23" t="inlineStr">
        <is>
          <t>9786543210</t>
        </is>
      </c>
      <c r="J17" s="19" t="inlineStr">
        <is>
          <t>Ward 3 - Nehru Market</t>
        </is>
      </c>
      <c r="K17" s="18" t="inlineStr">
        <is>
          <t>no</t>
        </is>
      </c>
      <c r="L17" s="24" t="n">
        <v>94</v>
      </c>
      <c r="M17" s="24" t="n">
        <v>1</v>
      </c>
      <c r="N17" s="24" t="n">
        <v>1999</v>
      </c>
      <c r="O17" s="25" t="n">
        <v>40650</v>
      </c>
      <c r="P17" s="19" t="inlineStr">
        <is>
          <t>Poonam Kumari</t>
        </is>
      </c>
      <c r="Q17" s="18" t="inlineStr">
        <is>
          <t>Daughter</t>
        </is>
      </c>
      <c r="R17" s="22" t="inlineStr">
        <is>
          <t>Etah</t>
        </is>
      </c>
      <c r="S17" s="23" t="inlineStr">
        <is>
          <t>207001</t>
        </is>
      </c>
      <c r="T17" s="19" t="inlineStr">
        <is>
          <t>B-16</t>
        </is>
      </c>
      <c r="U17" s="19" t="inlineStr">
        <is>
          <t>Nehru Market</t>
        </is>
      </c>
      <c r="V17" s="19" t="inlineStr">
        <is>
          <t>Laxmi Nagar</t>
        </is>
      </c>
      <c r="W17" s="26" t="inlineStr">
        <is>
          <t>RATE ZONE 2</t>
        </is>
      </c>
      <c r="X17" s="18" t="inlineStr">
        <is>
          <t>Individual (Single/Joint)</t>
        </is>
      </c>
      <c r="Y17" s="18" t="inlineStr">
        <is>
          <t>Bakery</t>
        </is>
      </c>
      <c r="Z17" s="18" t="inlineStr">
        <is>
          <t>Bakery</t>
        </is>
      </c>
      <c r="AA17" s="18" t="inlineStr">
        <is>
          <t>Main Market</t>
        </is>
      </c>
      <c r="AB17" s="18" t="inlineStr">
        <is>
          <t>Interlocking Road</t>
        </is>
      </c>
      <c r="AC17" s="24" t="n">
        <v>2</v>
      </c>
      <c r="AD17" s="27" t="n">
        <v>540.25</v>
      </c>
      <c r="AE17" s="28" t="n">
        <v>500</v>
      </c>
      <c r="AF17" s="28" t="n">
        <v>910.6</v>
      </c>
      <c r="AG17" s="26" t="inlineStr">
        <is>
          <t>yes</t>
        </is>
      </c>
      <c r="AH17" s="24" t="n">
        <v>1</v>
      </c>
      <c r="AI17" s="18" t="inlineStr">
        <is>
          <t>Government Tap</t>
        </is>
      </c>
      <c r="AJ17" s="18" t="inlineStr">
        <is>
          <t>Septic Tank</t>
        </is>
      </c>
      <c r="AK17" s="18" t="inlineStr">
        <is>
          <t>yes</t>
        </is>
      </c>
      <c r="AL17" s="29" t="n">
        <v>27.5595</v>
      </c>
      <c r="AM17" s="30" t="n">
        <v>78.6621</v>
      </c>
    </row>
    <row r="18" ht="22" customHeight="1">
      <c r="A18" s="31">
        <f>IF(COUNTA($B18:$D18,$F18:$AM18)&gt;0,MAX($A$4:A17)+1,"")</f>
        <v/>
      </c>
      <c r="B18" s="32" t="inlineStr">
        <is>
          <t>Draft</t>
        </is>
      </c>
      <c r="C18" s="33" t="inlineStr">
        <is>
          <t>Neha Singh</t>
        </is>
      </c>
      <c r="D18" s="32" t="inlineStr">
        <is>
          <t>2026-2027</t>
        </is>
      </c>
      <c r="E18" s="34">
        <f>IF(OR($L18="",$N18="",TRIM($Y18)=""),"","800797-011-"&amp;TEXT($L18,"0")&amp;"-"&amp;TEXT($N18,"0")&amp;"-"&amp;TRIM($Y18))</f>
        <v/>
      </c>
      <c r="F18" s="35" t="n">
        <v>46161.7</v>
      </c>
      <c r="G18" s="36" t="inlineStr">
        <is>
          <t>Metro Retail LLP</t>
        </is>
      </c>
      <c r="H18" s="33" t="inlineStr">
        <is>
          <t>N/A</t>
        </is>
      </c>
      <c r="I18" s="37" t="inlineStr">
        <is>
          <t>9090901234</t>
        </is>
      </c>
      <c r="J18" s="33" t="inlineStr">
        <is>
          <t>Ward 2 - Station Road</t>
        </is>
      </c>
      <c r="K18" s="32" t="inlineStr">
        <is>
          <t>no</t>
        </is>
      </c>
      <c r="L18" s="38" t="n">
        <v>501</v>
      </c>
      <c r="M18" s="38" t="n">
        <v>8</v>
      </c>
      <c r="N18" s="38" t="n">
        <v>8080</v>
      </c>
      <c r="O18" s="39" t="n">
        <v>44207</v>
      </c>
      <c r="P18" s="33" t="inlineStr">
        <is>
          <t>Anita Gupta</t>
        </is>
      </c>
      <c r="Q18" s="32" t="inlineStr">
        <is>
          <t>Other</t>
        </is>
      </c>
      <c r="R18" s="36" t="inlineStr">
        <is>
          <t>Etah</t>
        </is>
      </c>
      <c r="S18" s="37" t="inlineStr">
        <is>
          <t>207001</t>
        </is>
      </c>
      <c r="T18" s="33" t="inlineStr">
        <is>
          <t>Showroom 2</t>
        </is>
      </c>
      <c r="U18" s="33" t="inlineStr">
        <is>
          <t>Station Road</t>
        </is>
      </c>
      <c r="V18" s="33" t="inlineStr">
        <is>
          <t>City Centre</t>
        </is>
      </c>
      <c r="W18" s="40" t="inlineStr">
        <is>
          <t>RATE ZONE 1</t>
        </is>
      </c>
      <c r="X18" s="32" t="inlineStr">
        <is>
          <t>Limited Company</t>
        </is>
      </c>
      <c r="Y18" s="32" t="inlineStr">
        <is>
          <t>Mall Showroom</t>
        </is>
      </c>
      <c r="Z18" s="32" t="inlineStr">
        <is>
          <t>Commercial</t>
        </is>
      </c>
      <c r="AA18" s="32" t="inlineStr">
        <is>
          <t>Main Market</t>
        </is>
      </c>
      <c r="AB18" s="32" t="inlineStr">
        <is>
          <t>RCC Road</t>
        </is>
      </c>
      <c r="AC18" s="38" t="n">
        <v>3</v>
      </c>
      <c r="AD18" s="41" t="n">
        <v>12500</v>
      </c>
      <c r="AE18" s="42" t="n">
        <v>11000</v>
      </c>
      <c r="AF18" s="42" t="n">
        <v>28640</v>
      </c>
      <c r="AG18" s="40" t="inlineStr">
        <is>
          <t>yes</t>
        </is>
      </c>
      <c r="AH18" s="38" t="n">
        <v>5</v>
      </c>
      <c r="AI18" s="32" t="inlineStr">
        <is>
          <t>Government Tap</t>
        </is>
      </c>
      <c r="AJ18" s="32" t="inlineStr">
        <is>
          <t>Sewer System</t>
        </is>
      </c>
      <c r="AK18" s="32" t="inlineStr">
        <is>
          <t>yes</t>
        </is>
      </c>
      <c r="AL18" s="43" t="n">
        <v>27.5581</v>
      </c>
      <c r="AM18" s="44" t="n">
        <v>78.6658</v>
      </c>
    </row>
    <row r="19" ht="22" customHeight="1">
      <c r="A19" s="17">
        <f>IF(COUNTA($B19:$D19,$F19:$AM19)&gt;0,MAX($A$4:A18)+1,"")</f>
        <v/>
      </c>
      <c r="B19" s="18" t="inlineStr">
        <is>
          <t>Submitted</t>
        </is>
      </c>
      <c r="C19" s="19" t="inlineStr">
        <is>
          <t>Imran Khan</t>
        </is>
      </c>
      <c r="D19" s="18" t="inlineStr">
        <is>
          <t>2024-2025</t>
        </is>
      </c>
      <c r="E19" s="20">
        <f>IF(OR($L19="",$N19="",TRIM($Y19)=""),"","800797-011-"&amp;TEXT($L19,"0")&amp;"-"&amp;TEXT($N19,"0")&amp;"-"&amp;TRIM($Y19))</f>
        <v/>
      </c>
      <c r="F19" s="21" t="n">
        <v>45709.50833333333</v>
      </c>
      <c r="G19" s="22" t="inlineStr">
        <is>
          <t>Rajesh Patel</t>
        </is>
      </c>
      <c r="H19" s="19" t="inlineStr">
        <is>
          <t>Kiran Patel</t>
        </is>
      </c>
      <c r="I19" s="23" t="inlineStr">
        <is>
          <t>9234567810</t>
        </is>
      </c>
      <c r="J19" s="19" t="inlineStr">
        <is>
          <t>Ward 7 - Subhash Nagar</t>
        </is>
      </c>
      <c r="K19" s="18" t="inlineStr">
        <is>
          <t>no</t>
        </is>
      </c>
      <c r="L19" s="24" t="n">
        <v>276</v>
      </c>
      <c r="M19" s="24" t="n">
        <v>1</v>
      </c>
      <c r="N19" s="24" t="n">
        <v>3478</v>
      </c>
      <c r="O19" s="25" t="n">
        <v>40028</v>
      </c>
      <c r="P19" s="19" t="inlineStr">
        <is>
          <t>Sita Patel</t>
        </is>
      </c>
      <c r="Q19" s="18" t="inlineStr">
        <is>
          <t>Mother</t>
        </is>
      </c>
      <c r="R19" s="22" t="inlineStr">
        <is>
          <t>Etah</t>
        </is>
      </c>
      <c r="S19" s="23" t="inlineStr">
        <is>
          <t>207002</t>
        </is>
      </c>
      <c r="T19" s="19" t="inlineStr">
        <is>
          <t>31/4</t>
        </is>
      </c>
      <c r="U19" s="19" t="inlineStr">
        <is>
          <t>Subhash Nagar</t>
        </is>
      </c>
      <c r="V19" s="19" t="inlineStr">
        <is>
          <t>Patel Mohalla</t>
        </is>
      </c>
      <c r="W19" s="26" t="inlineStr">
        <is>
          <t>RATE ZONE 3</t>
        </is>
      </c>
      <c r="X19" s="18" t="inlineStr">
        <is>
          <t>Joint</t>
        </is>
      </c>
      <c r="Y19" s="18" t="inlineStr">
        <is>
          <t>Residential</t>
        </is>
      </c>
      <c r="Z19" s="18" t="inlineStr">
        <is>
          <t>Residential/Commercial</t>
        </is>
      </c>
      <c r="AA19" s="18" t="inlineStr">
        <is>
          <t>Interior</t>
        </is>
      </c>
      <c r="AB19" s="18" t="inlineStr">
        <is>
          <t>Dambar Road</t>
        </is>
      </c>
      <c r="AC19" s="24" t="n">
        <v>2</v>
      </c>
      <c r="AD19" s="27" t="n">
        <v>980</v>
      </c>
      <c r="AE19" s="28" t="n">
        <v>860.4</v>
      </c>
      <c r="AF19" s="28" t="n">
        <v>1540.2</v>
      </c>
      <c r="AG19" s="26" t="inlineStr">
        <is>
          <t>yes</t>
        </is>
      </c>
      <c r="AH19" s="24" t="n">
        <v>1</v>
      </c>
      <c r="AI19" s="18" t="inlineStr">
        <is>
          <t>Government Tap</t>
        </is>
      </c>
      <c r="AJ19" s="18" t="inlineStr">
        <is>
          <t>Other</t>
        </is>
      </c>
      <c r="AK19" s="18" t="inlineStr">
        <is>
          <t>yes</t>
        </is>
      </c>
      <c r="AL19" s="29" t="n">
        <v>27.5598</v>
      </c>
      <c r="AM19" s="30" t="n">
        <v>78.6617</v>
      </c>
    </row>
    <row r="20" ht="22" customHeight="1">
      <c r="A20" s="31">
        <f>IF(COUNTA($B20:$D20,$F20:$AM20)&gt;0,MAX($A$4:A19)+1,"")</f>
        <v/>
      </c>
      <c r="B20" s="32" t="n"/>
      <c r="C20" s="33" t="n"/>
      <c r="D20" s="32" t="n"/>
      <c r="E20" s="34">
        <f>IF(OR($L20="",$N20="",TRIM($Y20)=""),"","800797-011-"&amp;TEXT($L20,"0")&amp;"-"&amp;TEXT($N20,"0")&amp;"-"&amp;TRIM($Y20))</f>
        <v/>
      </c>
      <c r="F20" s="35" t="n"/>
      <c r="G20" s="36" t="n"/>
      <c r="H20" s="33" t="n"/>
      <c r="I20" s="37" t="n"/>
      <c r="J20" s="33" t="n"/>
      <c r="K20" s="32" t="n"/>
      <c r="L20" s="38" t="n"/>
      <c r="M20" s="38" t="n"/>
      <c r="N20" s="38" t="n"/>
      <c r="O20" s="39" t="n"/>
      <c r="P20" s="33" t="n"/>
      <c r="Q20" s="32" t="n"/>
      <c r="R20" s="36" t="n"/>
      <c r="S20" s="37" t="n"/>
      <c r="T20" s="33" t="n"/>
      <c r="U20" s="33" t="n"/>
      <c r="V20" s="33" t="n"/>
      <c r="W20" s="40" t="n"/>
      <c r="X20" s="32" t="n"/>
      <c r="Y20" s="32" t="n"/>
      <c r="Z20" s="32" t="n"/>
      <c r="AA20" s="32" t="n"/>
      <c r="AB20" s="32" t="n"/>
      <c r="AC20" s="38" t="n"/>
      <c r="AD20" s="41" t="n"/>
      <c r="AE20" s="42" t="n"/>
      <c r="AF20" s="42" t="n"/>
      <c r="AG20" s="40" t="n"/>
      <c r="AH20" s="38" t="n"/>
      <c r="AI20" s="32" t="n"/>
      <c r="AJ20" s="32" t="n"/>
      <c r="AK20" s="32" t="n"/>
      <c r="AL20" s="43" t="n"/>
      <c r="AM20" s="44" t="n"/>
    </row>
    <row r="21" ht="22" customHeight="1">
      <c r="A21" s="17">
        <f>IF(COUNTA($B21:$D21,$F21:$AM21)&gt;0,MAX($A$4:A20)+1,"")</f>
        <v/>
      </c>
      <c r="B21" s="18" t="n"/>
      <c r="C21" s="19" t="n"/>
      <c r="D21" s="18" t="n"/>
      <c r="E21" s="20">
        <f>IF(OR($L21="",$N21="",TRIM($Y21)=""),"","800797-011-"&amp;TEXT($L21,"0")&amp;"-"&amp;TEXT($N21,"0")&amp;"-"&amp;TRIM($Y21))</f>
        <v/>
      </c>
      <c r="F21" s="21" t="n"/>
      <c r="G21" s="22" t="n"/>
      <c r="H21" s="19" t="n"/>
      <c r="I21" s="23" t="n"/>
      <c r="J21" s="19" t="n"/>
      <c r="K21" s="18" t="n"/>
      <c r="L21" s="24" t="n"/>
      <c r="M21" s="24" t="n"/>
      <c r="N21" s="24" t="n"/>
      <c r="O21" s="25" t="n"/>
      <c r="P21" s="19" t="n"/>
      <c r="Q21" s="18" t="n"/>
      <c r="R21" s="22" t="n"/>
      <c r="S21" s="23" t="n"/>
      <c r="T21" s="19" t="n"/>
      <c r="U21" s="19" t="n"/>
      <c r="V21" s="19" t="n"/>
      <c r="W21" s="26" t="n"/>
      <c r="X21" s="18" t="n"/>
      <c r="Y21" s="18" t="n"/>
      <c r="Z21" s="18" t="n"/>
      <c r="AA21" s="18" t="n"/>
      <c r="AB21" s="18" t="n"/>
      <c r="AC21" s="24" t="n"/>
      <c r="AD21" s="27" t="n"/>
      <c r="AE21" s="28" t="n"/>
      <c r="AF21" s="28" t="n"/>
      <c r="AG21" s="26" t="n"/>
      <c r="AH21" s="24" t="n"/>
      <c r="AI21" s="18" t="n"/>
      <c r="AJ21" s="18" t="n"/>
      <c r="AK21" s="18" t="n"/>
      <c r="AL21" s="29" t="n"/>
      <c r="AM21" s="30" t="n"/>
    </row>
    <row r="22" ht="22" customHeight="1">
      <c r="A22" s="31">
        <f>IF(COUNTA($B22:$D22,$F22:$AM22)&gt;0,MAX($A$4:A21)+1,"")</f>
        <v/>
      </c>
      <c r="B22" s="32" t="n"/>
      <c r="C22" s="33" t="n"/>
      <c r="D22" s="32" t="n"/>
      <c r="E22" s="34">
        <f>IF(OR($L22="",$N22="",TRIM($Y22)=""),"","800797-011-"&amp;TEXT($L22,"0")&amp;"-"&amp;TEXT($N22,"0")&amp;"-"&amp;TRIM($Y22))</f>
        <v/>
      </c>
      <c r="F22" s="35" t="n"/>
      <c r="G22" s="36" t="n"/>
      <c r="H22" s="33" t="n"/>
      <c r="I22" s="37" t="n"/>
      <c r="J22" s="33" t="n"/>
      <c r="K22" s="32" t="n"/>
      <c r="L22" s="38" t="n"/>
      <c r="M22" s="38" t="n"/>
      <c r="N22" s="38" t="n"/>
      <c r="O22" s="39" t="n"/>
      <c r="P22" s="33" t="n"/>
      <c r="Q22" s="32" t="n"/>
      <c r="R22" s="36" t="n"/>
      <c r="S22" s="37" t="n"/>
      <c r="T22" s="33" t="n"/>
      <c r="U22" s="33" t="n"/>
      <c r="V22" s="33" t="n"/>
      <c r="W22" s="40" t="n"/>
      <c r="X22" s="32" t="n"/>
      <c r="Y22" s="32" t="n"/>
      <c r="Z22" s="32" t="n"/>
      <c r="AA22" s="32" t="n"/>
      <c r="AB22" s="32" t="n"/>
      <c r="AC22" s="38" t="n"/>
      <c r="AD22" s="41" t="n"/>
      <c r="AE22" s="42" t="n"/>
      <c r="AF22" s="42" t="n"/>
      <c r="AG22" s="40" t="n"/>
      <c r="AH22" s="38" t="n"/>
      <c r="AI22" s="32" t="n"/>
      <c r="AJ22" s="32" t="n"/>
      <c r="AK22" s="32" t="n"/>
      <c r="AL22" s="43" t="n"/>
      <c r="AM22" s="44" t="n"/>
    </row>
    <row r="23" ht="22" customHeight="1">
      <c r="A23" s="17">
        <f>IF(COUNTA($B23:$D23,$F23:$AM23)&gt;0,MAX($A$4:A22)+1,"")</f>
        <v/>
      </c>
      <c r="B23" s="18" t="n"/>
      <c r="C23" s="19" t="n"/>
      <c r="D23" s="18" t="n"/>
      <c r="E23" s="20">
        <f>IF(OR($L23="",$N23="",TRIM($Y23)=""),"","800797-011-"&amp;TEXT($L23,"0")&amp;"-"&amp;TEXT($N23,"0")&amp;"-"&amp;TRIM($Y23))</f>
        <v/>
      </c>
      <c r="F23" s="21" t="n"/>
      <c r="G23" s="22" t="n"/>
      <c r="H23" s="19" t="n"/>
      <c r="I23" s="23" t="n"/>
      <c r="J23" s="19" t="n"/>
      <c r="K23" s="18" t="n"/>
      <c r="L23" s="24" t="n"/>
      <c r="M23" s="24" t="n"/>
      <c r="N23" s="24" t="n"/>
      <c r="O23" s="25" t="n"/>
      <c r="P23" s="19" t="n"/>
      <c r="Q23" s="18" t="n"/>
      <c r="R23" s="22" t="n"/>
      <c r="S23" s="23" t="n"/>
      <c r="T23" s="19" t="n"/>
      <c r="U23" s="19" t="n"/>
      <c r="V23" s="19" t="n"/>
      <c r="W23" s="26" t="n"/>
      <c r="X23" s="18" t="n"/>
      <c r="Y23" s="18" t="n"/>
      <c r="Z23" s="18" t="n"/>
      <c r="AA23" s="18" t="n"/>
      <c r="AB23" s="18" t="n"/>
      <c r="AC23" s="24" t="n"/>
      <c r="AD23" s="27" t="n"/>
      <c r="AE23" s="28" t="n"/>
      <c r="AF23" s="28" t="n"/>
      <c r="AG23" s="26" t="n"/>
      <c r="AH23" s="24" t="n"/>
      <c r="AI23" s="18" t="n"/>
      <c r="AJ23" s="18" t="n"/>
      <c r="AK23" s="18" t="n"/>
      <c r="AL23" s="29" t="n"/>
      <c r="AM23" s="30" t="n"/>
    </row>
    <row r="24" ht="22" customHeight="1">
      <c r="A24" s="31">
        <f>IF(COUNTA($B24:$D24,$F24:$AM24)&gt;0,MAX($A$4:A23)+1,"")</f>
        <v/>
      </c>
      <c r="B24" s="32" t="n"/>
      <c r="C24" s="33" t="n"/>
      <c r="D24" s="32" t="n"/>
      <c r="E24" s="34">
        <f>IF(OR($L24="",$N24="",TRIM($Y24)=""),"","800797-011-"&amp;TEXT($L24,"0")&amp;"-"&amp;TEXT($N24,"0")&amp;"-"&amp;TRIM($Y24))</f>
        <v/>
      </c>
      <c r="F24" s="35" t="n"/>
      <c r="G24" s="36" t="n"/>
      <c r="H24" s="33" t="n"/>
      <c r="I24" s="37" t="n"/>
      <c r="J24" s="33" t="n"/>
      <c r="K24" s="32" t="n"/>
      <c r="L24" s="38" t="n"/>
      <c r="M24" s="38" t="n"/>
      <c r="N24" s="38" t="n"/>
      <c r="O24" s="39" t="n"/>
      <c r="P24" s="33" t="n"/>
      <c r="Q24" s="32" t="n"/>
      <c r="R24" s="36" t="n"/>
      <c r="S24" s="37" t="n"/>
      <c r="T24" s="33" t="n"/>
      <c r="U24" s="33" t="n"/>
      <c r="V24" s="33" t="n"/>
      <c r="W24" s="40" t="n"/>
      <c r="X24" s="32" t="n"/>
      <c r="Y24" s="32" t="n"/>
      <c r="Z24" s="32" t="n"/>
      <c r="AA24" s="32" t="n"/>
      <c r="AB24" s="32" t="n"/>
      <c r="AC24" s="38" t="n"/>
      <c r="AD24" s="41" t="n"/>
      <c r="AE24" s="42" t="n"/>
      <c r="AF24" s="42" t="n"/>
      <c r="AG24" s="40" t="n"/>
      <c r="AH24" s="38" t="n"/>
      <c r="AI24" s="32" t="n"/>
      <c r="AJ24" s="32" t="n"/>
      <c r="AK24" s="32" t="n"/>
      <c r="AL24" s="43" t="n"/>
      <c r="AM24" s="44" t="n"/>
    </row>
    <row r="25" ht="22" customHeight="1">
      <c r="A25" s="17">
        <f>IF(COUNTA($B25:$D25,$F25:$AM25)&gt;0,MAX($A$4:A24)+1,"")</f>
        <v/>
      </c>
      <c r="B25" s="18" t="n"/>
      <c r="C25" s="19" t="n"/>
      <c r="D25" s="18" t="n"/>
      <c r="E25" s="20">
        <f>IF(OR($L25="",$N25="",TRIM($Y25)=""),"","800797-011-"&amp;TEXT($L25,"0")&amp;"-"&amp;TEXT($N25,"0")&amp;"-"&amp;TRIM($Y25))</f>
        <v/>
      </c>
      <c r="F25" s="21" t="n"/>
      <c r="G25" s="22" t="n"/>
      <c r="H25" s="19" t="n"/>
      <c r="I25" s="23" t="n"/>
      <c r="J25" s="19" t="n"/>
      <c r="K25" s="18" t="n"/>
      <c r="L25" s="24" t="n"/>
      <c r="M25" s="24" t="n"/>
      <c r="N25" s="24" t="n"/>
      <c r="O25" s="25" t="n"/>
      <c r="P25" s="19" t="n"/>
      <c r="Q25" s="18" t="n"/>
      <c r="R25" s="22" t="n"/>
      <c r="S25" s="23" t="n"/>
      <c r="T25" s="19" t="n"/>
      <c r="U25" s="19" t="n"/>
      <c r="V25" s="19" t="n"/>
      <c r="W25" s="26" t="n"/>
      <c r="X25" s="18" t="n"/>
      <c r="Y25" s="18" t="n"/>
      <c r="Z25" s="18" t="n"/>
      <c r="AA25" s="18" t="n"/>
      <c r="AB25" s="18" t="n"/>
      <c r="AC25" s="24" t="n"/>
      <c r="AD25" s="27" t="n"/>
      <c r="AE25" s="28" t="n"/>
      <c r="AF25" s="28" t="n"/>
      <c r="AG25" s="26" t="n"/>
      <c r="AH25" s="24" t="n"/>
      <c r="AI25" s="18" t="n"/>
      <c r="AJ25" s="18" t="n"/>
      <c r="AK25" s="18" t="n"/>
      <c r="AL25" s="29" t="n"/>
      <c r="AM25" s="30" t="n"/>
    </row>
    <row r="26" ht="22" customHeight="1">
      <c r="A26" s="31">
        <f>IF(COUNTA($B26:$D26,$F26:$AM26)&gt;0,MAX($A$4:A25)+1,"")</f>
        <v/>
      </c>
      <c r="B26" s="32" t="n"/>
      <c r="C26" s="33" t="n"/>
      <c r="D26" s="32" t="n"/>
      <c r="E26" s="34">
        <f>IF(OR($L26="",$N26="",TRIM($Y26)=""),"","800797-011-"&amp;TEXT($L26,"0")&amp;"-"&amp;TEXT($N26,"0")&amp;"-"&amp;TRIM($Y26))</f>
        <v/>
      </c>
      <c r="F26" s="35" t="n"/>
      <c r="G26" s="36" t="n"/>
      <c r="H26" s="33" t="n"/>
      <c r="I26" s="37" t="n"/>
      <c r="J26" s="33" t="n"/>
      <c r="K26" s="32" t="n"/>
      <c r="L26" s="38" t="n"/>
      <c r="M26" s="38" t="n"/>
      <c r="N26" s="38" t="n"/>
      <c r="O26" s="39" t="n"/>
      <c r="P26" s="33" t="n"/>
      <c r="Q26" s="32" t="n"/>
      <c r="R26" s="36" t="n"/>
      <c r="S26" s="37" t="n"/>
      <c r="T26" s="33" t="n"/>
      <c r="U26" s="33" t="n"/>
      <c r="V26" s="33" t="n"/>
      <c r="W26" s="40" t="n"/>
      <c r="X26" s="32" t="n"/>
      <c r="Y26" s="32" t="n"/>
      <c r="Z26" s="32" t="n"/>
      <c r="AA26" s="32" t="n"/>
      <c r="AB26" s="32" t="n"/>
      <c r="AC26" s="38" t="n"/>
      <c r="AD26" s="41" t="n"/>
      <c r="AE26" s="42" t="n"/>
      <c r="AF26" s="42" t="n"/>
      <c r="AG26" s="40" t="n"/>
      <c r="AH26" s="38" t="n"/>
      <c r="AI26" s="32" t="n"/>
      <c r="AJ26" s="32" t="n"/>
      <c r="AK26" s="32" t="n"/>
      <c r="AL26" s="43" t="n"/>
      <c r="AM26" s="44" t="n"/>
    </row>
    <row r="27" ht="22" customHeight="1">
      <c r="A27" s="17">
        <f>IF(COUNTA($B27:$D27,$F27:$AM27)&gt;0,MAX($A$4:A26)+1,"")</f>
        <v/>
      </c>
      <c r="B27" s="18" t="n"/>
      <c r="C27" s="19" t="n"/>
      <c r="D27" s="18" t="n"/>
      <c r="E27" s="20">
        <f>IF(OR($L27="",$N27="",TRIM($Y27)=""),"","800797-011-"&amp;TEXT($L27,"0")&amp;"-"&amp;TEXT($N27,"0")&amp;"-"&amp;TRIM($Y27))</f>
        <v/>
      </c>
      <c r="F27" s="21" t="n"/>
      <c r="G27" s="22" t="n"/>
      <c r="H27" s="19" t="n"/>
      <c r="I27" s="23" t="n"/>
      <c r="J27" s="19" t="n"/>
      <c r="K27" s="18" t="n"/>
      <c r="L27" s="24" t="n"/>
      <c r="M27" s="24" t="n"/>
      <c r="N27" s="24" t="n"/>
      <c r="O27" s="25" t="n"/>
      <c r="P27" s="19" t="n"/>
      <c r="Q27" s="18" t="n"/>
      <c r="R27" s="22" t="n"/>
      <c r="S27" s="23" t="n"/>
      <c r="T27" s="19" t="n"/>
      <c r="U27" s="19" t="n"/>
      <c r="V27" s="19" t="n"/>
      <c r="W27" s="26" t="n"/>
      <c r="X27" s="18" t="n"/>
      <c r="Y27" s="18" t="n"/>
      <c r="Z27" s="18" t="n"/>
      <c r="AA27" s="18" t="n"/>
      <c r="AB27" s="18" t="n"/>
      <c r="AC27" s="24" t="n"/>
      <c r="AD27" s="27" t="n"/>
      <c r="AE27" s="28" t="n"/>
      <c r="AF27" s="28" t="n"/>
      <c r="AG27" s="26" t="n"/>
      <c r="AH27" s="24" t="n"/>
      <c r="AI27" s="18" t="n"/>
      <c r="AJ27" s="18" t="n"/>
      <c r="AK27" s="18" t="n"/>
      <c r="AL27" s="29" t="n"/>
      <c r="AM27" s="30" t="n"/>
    </row>
    <row r="28" ht="22" customHeight="1">
      <c r="A28" s="31">
        <f>IF(COUNTA($B28:$D28,$F28:$AM28)&gt;0,MAX($A$4:A27)+1,"")</f>
        <v/>
      </c>
      <c r="B28" s="32" t="n"/>
      <c r="C28" s="33" t="n"/>
      <c r="D28" s="32" t="n"/>
      <c r="E28" s="34">
        <f>IF(OR($L28="",$N28="",TRIM($Y28)=""),"","800797-011-"&amp;TEXT($L28,"0")&amp;"-"&amp;TEXT($N28,"0")&amp;"-"&amp;TRIM($Y28))</f>
        <v/>
      </c>
      <c r="F28" s="35" t="n"/>
      <c r="G28" s="36" t="n"/>
      <c r="H28" s="33" t="n"/>
      <c r="I28" s="37" t="n"/>
      <c r="J28" s="33" t="n"/>
      <c r="K28" s="32" t="n"/>
      <c r="L28" s="38" t="n"/>
      <c r="M28" s="38" t="n"/>
      <c r="N28" s="38" t="n"/>
      <c r="O28" s="39" t="n"/>
      <c r="P28" s="33" t="n"/>
      <c r="Q28" s="32" t="n"/>
      <c r="R28" s="36" t="n"/>
      <c r="S28" s="37" t="n"/>
      <c r="T28" s="33" t="n"/>
      <c r="U28" s="33" t="n"/>
      <c r="V28" s="33" t="n"/>
      <c r="W28" s="40" t="n"/>
      <c r="X28" s="32" t="n"/>
      <c r="Y28" s="32" t="n"/>
      <c r="Z28" s="32" t="n"/>
      <c r="AA28" s="32" t="n"/>
      <c r="AB28" s="32" t="n"/>
      <c r="AC28" s="38" t="n"/>
      <c r="AD28" s="41" t="n"/>
      <c r="AE28" s="42" t="n"/>
      <c r="AF28" s="42" t="n"/>
      <c r="AG28" s="40" t="n"/>
      <c r="AH28" s="38" t="n"/>
      <c r="AI28" s="32" t="n"/>
      <c r="AJ28" s="32" t="n"/>
      <c r="AK28" s="32" t="n"/>
      <c r="AL28" s="43" t="n"/>
      <c r="AM28" s="44" t="n"/>
    </row>
    <row r="29" ht="22" customHeight="1">
      <c r="A29" s="17">
        <f>IF(COUNTA($B29:$D29,$F29:$AM29)&gt;0,MAX($A$4:A28)+1,"")</f>
        <v/>
      </c>
      <c r="B29" s="18" t="n"/>
      <c r="C29" s="19" t="n"/>
      <c r="D29" s="18" t="n"/>
      <c r="E29" s="20">
        <f>IF(OR($L29="",$N29="",TRIM($Y29)=""),"","800797-011-"&amp;TEXT($L29,"0")&amp;"-"&amp;TEXT($N29,"0")&amp;"-"&amp;TRIM($Y29))</f>
        <v/>
      </c>
      <c r="F29" s="21" t="n"/>
      <c r="G29" s="22" t="n"/>
      <c r="H29" s="19" t="n"/>
      <c r="I29" s="23" t="n"/>
      <c r="J29" s="19" t="n"/>
      <c r="K29" s="18" t="n"/>
      <c r="L29" s="24" t="n"/>
      <c r="M29" s="24" t="n"/>
      <c r="N29" s="24" t="n"/>
      <c r="O29" s="25" t="n"/>
      <c r="P29" s="19" t="n"/>
      <c r="Q29" s="18" t="n"/>
      <c r="R29" s="22" t="n"/>
      <c r="S29" s="23" t="n"/>
      <c r="T29" s="19" t="n"/>
      <c r="U29" s="19" t="n"/>
      <c r="V29" s="19" t="n"/>
      <c r="W29" s="26" t="n"/>
      <c r="X29" s="18" t="n"/>
      <c r="Y29" s="18" t="n"/>
      <c r="Z29" s="18" t="n"/>
      <c r="AA29" s="18" t="n"/>
      <c r="AB29" s="18" t="n"/>
      <c r="AC29" s="24" t="n"/>
      <c r="AD29" s="27" t="n"/>
      <c r="AE29" s="28" t="n"/>
      <c r="AF29" s="28" t="n"/>
      <c r="AG29" s="26" t="n"/>
      <c r="AH29" s="24" t="n"/>
      <c r="AI29" s="18" t="n"/>
      <c r="AJ29" s="18" t="n"/>
      <c r="AK29" s="18" t="n"/>
      <c r="AL29" s="29" t="n"/>
      <c r="AM29" s="30" t="n"/>
    </row>
    <row r="30" ht="22" customHeight="1">
      <c r="A30" s="31">
        <f>IF(COUNTA($B30:$D30,$F30:$AM30)&gt;0,MAX($A$4:A29)+1,"")</f>
        <v/>
      </c>
      <c r="B30" s="32" t="n"/>
      <c r="C30" s="33" t="n"/>
      <c r="D30" s="32" t="n"/>
      <c r="E30" s="34">
        <f>IF(OR($L30="",$N30="",TRIM($Y30)=""),"","800797-011-"&amp;TEXT($L30,"0")&amp;"-"&amp;TEXT($N30,"0")&amp;"-"&amp;TRIM($Y30))</f>
        <v/>
      </c>
      <c r="F30" s="35" t="n"/>
      <c r="G30" s="36" t="n"/>
      <c r="H30" s="33" t="n"/>
      <c r="I30" s="37" t="n"/>
      <c r="J30" s="33" t="n"/>
      <c r="K30" s="32" t="n"/>
      <c r="L30" s="38" t="n"/>
      <c r="M30" s="38" t="n"/>
      <c r="N30" s="38" t="n"/>
      <c r="O30" s="39" t="n"/>
      <c r="P30" s="33" t="n"/>
      <c r="Q30" s="32" t="n"/>
      <c r="R30" s="36" t="n"/>
      <c r="S30" s="37" t="n"/>
      <c r="T30" s="33" t="n"/>
      <c r="U30" s="33" t="n"/>
      <c r="V30" s="33" t="n"/>
      <c r="W30" s="40" t="n"/>
      <c r="X30" s="32" t="n"/>
      <c r="Y30" s="32" t="n"/>
      <c r="Z30" s="32" t="n"/>
      <c r="AA30" s="32" t="n"/>
      <c r="AB30" s="32" t="n"/>
      <c r="AC30" s="38" t="n"/>
      <c r="AD30" s="41" t="n"/>
      <c r="AE30" s="42" t="n"/>
      <c r="AF30" s="42" t="n"/>
      <c r="AG30" s="40" t="n"/>
      <c r="AH30" s="38" t="n"/>
      <c r="AI30" s="32" t="n"/>
      <c r="AJ30" s="32" t="n"/>
      <c r="AK30" s="32" t="n"/>
      <c r="AL30" s="43" t="n"/>
      <c r="AM30" s="44" t="n"/>
    </row>
    <row r="31" ht="22" customHeight="1">
      <c r="A31" s="17">
        <f>IF(COUNTA($B31:$D31,$F31:$AM31)&gt;0,MAX($A$4:A30)+1,"")</f>
        <v/>
      </c>
      <c r="B31" s="18" t="n"/>
      <c r="C31" s="19" t="n"/>
      <c r="D31" s="18" t="n"/>
      <c r="E31" s="20">
        <f>IF(OR($L31="",$N31="",TRIM($Y31)=""),"","800797-011-"&amp;TEXT($L31,"0")&amp;"-"&amp;TEXT($N31,"0")&amp;"-"&amp;TRIM($Y31))</f>
        <v/>
      </c>
      <c r="F31" s="21" t="n"/>
      <c r="G31" s="22" t="n"/>
      <c r="H31" s="19" t="n"/>
      <c r="I31" s="23" t="n"/>
      <c r="J31" s="19" t="n"/>
      <c r="K31" s="18" t="n"/>
      <c r="L31" s="24" t="n"/>
      <c r="M31" s="24" t="n"/>
      <c r="N31" s="24" t="n"/>
      <c r="O31" s="25" t="n"/>
      <c r="P31" s="19" t="n"/>
      <c r="Q31" s="18" t="n"/>
      <c r="R31" s="22" t="n"/>
      <c r="S31" s="23" t="n"/>
      <c r="T31" s="19" t="n"/>
      <c r="U31" s="19" t="n"/>
      <c r="V31" s="19" t="n"/>
      <c r="W31" s="26" t="n"/>
      <c r="X31" s="18" t="n"/>
      <c r="Y31" s="18" t="n"/>
      <c r="Z31" s="18" t="n"/>
      <c r="AA31" s="18" t="n"/>
      <c r="AB31" s="18" t="n"/>
      <c r="AC31" s="24" t="n"/>
      <c r="AD31" s="27" t="n"/>
      <c r="AE31" s="28" t="n"/>
      <c r="AF31" s="28" t="n"/>
      <c r="AG31" s="26" t="n"/>
      <c r="AH31" s="24" t="n"/>
      <c r="AI31" s="18" t="n"/>
      <c r="AJ31" s="18" t="n"/>
      <c r="AK31" s="18" t="n"/>
      <c r="AL31" s="29" t="n"/>
      <c r="AM31" s="30" t="n"/>
    </row>
    <row r="32" ht="22" customHeight="1">
      <c r="A32" s="31">
        <f>IF(COUNTA($B32:$D32,$F32:$AM32)&gt;0,MAX($A$4:A31)+1,"")</f>
        <v/>
      </c>
      <c r="B32" s="32" t="n"/>
      <c r="C32" s="33" t="n"/>
      <c r="D32" s="32" t="n"/>
      <c r="E32" s="34">
        <f>IF(OR($L32="",$N32="",TRIM($Y32)=""),"","800797-011-"&amp;TEXT($L32,"0")&amp;"-"&amp;TEXT($N32,"0")&amp;"-"&amp;TRIM($Y32))</f>
        <v/>
      </c>
      <c r="F32" s="35" t="n"/>
      <c r="G32" s="36" t="n"/>
      <c r="H32" s="33" t="n"/>
      <c r="I32" s="37" t="n"/>
      <c r="J32" s="33" t="n"/>
      <c r="K32" s="32" t="n"/>
      <c r="L32" s="38" t="n"/>
      <c r="M32" s="38" t="n"/>
      <c r="N32" s="38" t="n"/>
      <c r="O32" s="39" t="n"/>
      <c r="P32" s="33" t="n"/>
      <c r="Q32" s="32" t="n"/>
      <c r="R32" s="36" t="n"/>
      <c r="S32" s="37" t="n"/>
      <c r="T32" s="33" t="n"/>
      <c r="U32" s="33" t="n"/>
      <c r="V32" s="33" t="n"/>
      <c r="W32" s="40" t="n"/>
      <c r="X32" s="32" t="n"/>
      <c r="Y32" s="32" t="n"/>
      <c r="Z32" s="32" t="n"/>
      <c r="AA32" s="32" t="n"/>
      <c r="AB32" s="32" t="n"/>
      <c r="AC32" s="38" t="n"/>
      <c r="AD32" s="41" t="n"/>
      <c r="AE32" s="42" t="n"/>
      <c r="AF32" s="42" t="n"/>
      <c r="AG32" s="40" t="n"/>
      <c r="AH32" s="38" t="n"/>
      <c r="AI32" s="32" t="n"/>
      <c r="AJ32" s="32" t="n"/>
      <c r="AK32" s="32" t="n"/>
      <c r="AL32" s="43" t="n"/>
      <c r="AM32" s="44" t="n"/>
    </row>
    <row r="33" ht="22" customHeight="1">
      <c r="A33" s="17">
        <f>IF(COUNTA($B33:$D33,$F33:$AM33)&gt;0,MAX($A$4:A32)+1,"")</f>
        <v/>
      </c>
      <c r="B33" s="18" t="n"/>
      <c r="C33" s="19" t="n"/>
      <c r="D33" s="18" t="n"/>
      <c r="E33" s="20">
        <f>IF(OR($L33="",$N33="",TRIM($Y33)=""),"","800797-011-"&amp;TEXT($L33,"0")&amp;"-"&amp;TEXT($N33,"0")&amp;"-"&amp;TRIM($Y33))</f>
        <v/>
      </c>
      <c r="F33" s="21" t="n"/>
      <c r="G33" s="22" t="n"/>
      <c r="H33" s="19" t="n"/>
      <c r="I33" s="23" t="n"/>
      <c r="J33" s="19" t="n"/>
      <c r="K33" s="18" t="n"/>
      <c r="L33" s="24" t="n"/>
      <c r="M33" s="24" t="n"/>
      <c r="N33" s="24" t="n"/>
      <c r="O33" s="25" t="n"/>
      <c r="P33" s="19" t="n"/>
      <c r="Q33" s="18" t="n"/>
      <c r="R33" s="22" t="n"/>
      <c r="S33" s="23" t="n"/>
      <c r="T33" s="19" t="n"/>
      <c r="U33" s="19" t="n"/>
      <c r="V33" s="19" t="n"/>
      <c r="W33" s="26" t="n"/>
      <c r="X33" s="18" t="n"/>
      <c r="Y33" s="18" t="n"/>
      <c r="Z33" s="18" t="n"/>
      <c r="AA33" s="18" t="n"/>
      <c r="AB33" s="18" t="n"/>
      <c r="AC33" s="24" t="n"/>
      <c r="AD33" s="27" t="n"/>
      <c r="AE33" s="28" t="n"/>
      <c r="AF33" s="28" t="n"/>
      <c r="AG33" s="26" t="n"/>
      <c r="AH33" s="24" t="n"/>
      <c r="AI33" s="18" t="n"/>
      <c r="AJ33" s="18" t="n"/>
      <c r="AK33" s="18" t="n"/>
      <c r="AL33" s="29" t="n"/>
      <c r="AM33" s="30" t="n"/>
    </row>
    <row r="34" ht="22" customHeight="1">
      <c r="A34" s="31">
        <f>IF(COUNTA($B34:$D34,$F34:$AM34)&gt;0,MAX($A$4:A33)+1,"")</f>
        <v/>
      </c>
      <c r="B34" s="32" t="n"/>
      <c r="C34" s="33" t="n"/>
      <c r="D34" s="32" t="n"/>
      <c r="E34" s="34">
        <f>IF(OR($L34="",$N34="",TRIM($Y34)=""),"","800797-011-"&amp;TEXT($L34,"0")&amp;"-"&amp;TEXT($N34,"0")&amp;"-"&amp;TRIM($Y34))</f>
        <v/>
      </c>
      <c r="F34" s="35" t="n"/>
      <c r="G34" s="36" t="n"/>
      <c r="H34" s="33" t="n"/>
      <c r="I34" s="37" t="n"/>
      <c r="J34" s="33" t="n"/>
      <c r="K34" s="32" t="n"/>
      <c r="L34" s="38" t="n"/>
      <c r="M34" s="38" t="n"/>
      <c r="N34" s="38" t="n"/>
      <c r="O34" s="39" t="n"/>
      <c r="P34" s="33" t="n"/>
      <c r="Q34" s="32" t="n"/>
      <c r="R34" s="36" t="n"/>
      <c r="S34" s="37" t="n"/>
      <c r="T34" s="33" t="n"/>
      <c r="U34" s="33" t="n"/>
      <c r="V34" s="33" t="n"/>
      <c r="W34" s="40" t="n"/>
      <c r="X34" s="32" t="n"/>
      <c r="Y34" s="32" t="n"/>
      <c r="Z34" s="32" t="n"/>
      <c r="AA34" s="32" t="n"/>
      <c r="AB34" s="32" t="n"/>
      <c r="AC34" s="38" t="n"/>
      <c r="AD34" s="41" t="n"/>
      <c r="AE34" s="42" t="n"/>
      <c r="AF34" s="42" t="n"/>
      <c r="AG34" s="40" t="n"/>
      <c r="AH34" s="38" t="n"/>
      <c r="AI34" s="32" t="n"/>
      <c r="AJ34" s="32" t="n"/>
      <c r="AK34" s="32" t="n"/>
      <c r="AL34" s="43" t="n"/>
      <c r="AM34" s="44" t="n"/>
    </row>
    <row r="35" ht="22" customHeight="1">
      <c r="A35" s="17">
        <f>IF(COUNTA($B35:$D35,$F35:$AM35)&gt;0,MAX($A$4:A34)+1,"")</f>
        <v/>
      </c>
      <c r="B35" s="18" t="n"/>
      <c r="C35" s="19" t="n"/>
      <c r="D35" s="18" t="n"/>
      <c r="E35" s="20">
        <f>IF(OR($L35="",$N35="",TRIM($Y35)=""),"","800797-011-"&amp;TEXT($L35,"0")&amp;"-"&amp;TEXT($N35,"0")&amp;"-"&amp;TRIM($Y35))</f>
        <v/>
      </c>
      <c r="F35" s="21" t="n"/>
      <c r="G35" s="22" t="n"/>
      <c r="H35" s="19" t="n"/>
      <c r="I35" s="23" t="n"/>
      <c r="J35" s="19" t="n"/>
      <c r="K35" s="18" t="n"/>
      <c r="L35" s="24" t="n"/>
      <c r="M35" s="24" t="n"/>
      <c r="N35" s="24" t="n"/>
      <c r="O35" s="25" t="n"/>
      <c r="P35" s="19" t="n"/>
      <c r="Q35" s="18" t="n"/>
      <c r="R35" s="22" t="n"/>
      <c r="S35" s="23" t="n"/>
      <c r="T35" s="19" t="n"/>
      <c r="U35" s="19" t="n"/>
      <c r="V35" s="19" t="n"/>
      <c r="W35" s="26" t="n"/>
      <c r="X35" s="18" t="n"/>
      <c r="Y35" s="18" t="n"/>
      <c r="Z35" s="18" t="n"/>
      <c r="AA35" s="18" t="n"/>
      <c r="AB35" s="18" t="n"/>
      <c r="AC35" s="24" t="n"/>
      <c r="AD35" s="27" t="n"/>
      <c r="AE35" s="28" t="n"/>
      <c r="AF35" s="28" t="n"/>
      <c r="AG35" s="26" t="n"/>
      <c r="AH35" s="24" t="n"/>
      <c r="AI35" s="18" t="n"/>
      <c r="AJ35" s="18" t="n"/>
      <c r="AK35" s="18" t="n"/>
      <c r="AL35" s="29" t="n"/>
      <c r="AM35" s="30" t="n"/>
    </row>
    <row r="36" ht="22" customHeight="1">
      <c r="A36" s="31">
        <f>IF(COUNTA($B36:$D36,$F36:$AM36)&gt;0,MAX($A$4:A35)+1,"")</f>
        <v/>
      </c>
      <c r="B36" s="32" t="n"/>
      <c r="C36" s="33" t="n"/>
      <c r="D36" s="32" t="n"/>
      <c r="E36" s="34">
        <f>IF(OR($L36="",$N36="",TRIM($Y36)=""),"","800797-011-"&amp;TEXT($L36,"0")&amp;"-"&amp;TEXT($N36,"0")&amp;"-"&amp;TRIM($Y36))</f>
        <v/>
      </c>
      <c r="F36" s="35" t="n"/>
      <c r="G36" s="36" t="n"/>
      <c r="H36" s="33" t="n"/>
      <c r="I36" s="37" t="n"/>
      <c r="J36" s="33" t="n"/>
      <c r="K36" s="32" t="n"/>
      <c r="L36" s="38" t="n"/>
      <c r="M36" s="38" t="n"/>
      <c r="N36" s="38" t="n"/>
      <c r="O36" s="39" t="n"/>
      <c r="P36" s="33" t="n"/>
      <c r="Q36" s="32" t="n"/>
      <c r="R36" s="36" t="n"/>
      <c r="S36" s="37" t="n"/>
      <c r="T36" s="33" t="n"/>
      <c r="U36" s="33" t="n"/>
      <c r="V36" s="33" t="n"/>
      <c r="W36" s="40" t="n"/>
      <c r="X36" s="32" t="n"/>
      <c r="Y36" s="32" t="n"/>
      <c r="Z36" s="32" t="n"/>
      <c r="AA36" s="32" t="n"/>
      <c r="AB36" s="32" t="n"/>
      <c r="AC36" s="38" t="n"/>
      <c r="AD36" s="41" t="n"/>
      <c r="AE36" s="42" t="n"/>
      <c r="AF36" s="42" t="n"/>
      <c r="AG36" s="40" t="n"/>
      <c r="AH36" s="38" t="n"/>
      <c r="AI36" s="32" t="n"/>
      <c r="AJ36" s="32" t="n"/>
      <c r="AK36" s="32" t="n"/>
      <c r="AL36" s="43" t="n"/>
      <c r="AM36" s="44" t="n"/>
    </row>
    <row r="37" ht="22" customHeight="1">
      <c r="A37" s="17">
        <f>IF(COUNTA($B37:$D37,$F37:$AM37)&gt;0,MAX($A$4:A36)+1,"")</f>
        <v/>
      </c>
      <c r="B37" s="18" t="n"/>
      <c r="C37" s="19" t="n"/>
      <c r="D37" s="18" t="n"/>
      <c r="E37" s="20">
        <f>IF(OR($L37="",$N37="",TRIM($Y37)=""),"","800797-011-"&amp;TEXT($L37,"0")&amp;"-"&amp;TEXT($N37,"0")&amp;"-"&amp;TRIM($Y37))</f>
        <v/>
      </c>
      <c r="F37" s="21" t="n"/>
      <c r="G37" s="22" t="n"/>
      <c r="H37" s="19" t="n"/>
      <c r="I37" s="23" t="n"/>
      <c r="J37" s="19" t="n"/>
      <c r="K37" s="18" t="n"/>
      <c r="L37" s="24" t="n"/>
      <c r="M37" s="24" t="n"/>
      <c r="N37" s="24" t="n"/>
      <c r="O37" s="25" t="n"/>
      <c r="P37" s="19" t="n"/>
      <c r="Q37" s="18" t="n"/>
      <c r="R37" s="22" t="n"/>
      <c r="S37" s="23" t="n"/>
      <c r="T37" s="19" t="n"/>
      <c r="U37" s="19" t="n"/>
      <c r="V37" s="19" t="n"/>
      <c r="W37" s="26" t="n"/>
      <c r="X37" s="18" t="n"/>
      <c r="Y37" s="18" t="n"/>
      <c r="Z37" s="18" t="n"/>
      <c r="AA37" s="18" t="n"/>
      <c r="AB37" s="18" t="n"/>
      <c r="AC37" s="24" t="n"/>
      <c r="AD37" s="27" t="n"/>
      <c r="AE37" s="28" t="n"/>
      <c r="AF37" s="28" t="n"/>
      <c r="AG37" s="26" t="n"/>
      <c r="AH37" s="24" t="n"/>
      <c r="AI37" s="18" t="n"/>
      <c r="AJ37" s="18" t="n"/>
      <c r="AK37" s="18" t="n"/>
      <c r="AL37" s="29" t="n"/>
      <c r="AM37" s="30" t="n"/>
    </row>
    <row r="38" ht="22" customHeight="1">
      <c r="A38" s="31">
        <f>IF(COUNTA($B38:$D38,$F38:$AM38)&gt;0,MAX($A$4:A37)+1,"")</f>
        <v/>
      </c>
      <c r="B38" s="32" t="n"/>
      <c r="C38" s="33" t="n"/>
      <c r="D38" s="32" t="n"/>
      <c r="E38" s="34">
        <f>IF(OR($L38="",$N38="",TRIM($Y38)=""),"","800797-011-"&amp;TEXT($L38,"0")&amp;"-"&amp;TEXT($N38,"0")&amp;"-"&amp;TRIM($Y38))</f>
        <v/>
      </c>
      <c r="F38" s="35" t="n"/>
      <c r="G38" s="36" t="n"/>
      <c r="H38" s="33" t="n"/>
      <c r="I38" s="37" t="n"/>
      <c r="J38" s="33" t="n"/>
      <c r="K38" s="32" t="n"/>
      <c r="L38" s="38" t="n"/>
      <c r="M38" s="38" t="n"/>
      <c r="N38" s="38" t="n"/>
      <c r="O38" s="39" t="n"/>
      <c r="P38" s="33" t="n"/>
      <c r="Q38" s="32" t="n"/>
      <c r="R38" s="36" t="n"/>
      <c r="S38" s="37" t="n"/>
      <c r="T38" s="33" t="n"/>
      <c r="U38" s="33" t="n"/>
      <c r="V38" s="33" t="n"/>
      <c r="W38" s="40" t="n"/>
      <c r="X38" s="32" t="n"/>
      <c r="Y38" s="32" t="n"/>
      <c r="Z38" s="32" t="n"/>
      <c r="AA38" s="32" t="n"/>
      <c r="AB38" s="32" t="n"/>
      <c r="AC38" s="38" t="n"/>
      <c r="AD38" s="41" t="n"/>
      <c r="AE38" s="42" t="n"/>
      <c r="AF38" s="42" t="n"/>
      <c r="AG38" s="40" t="n"/>
      <c r="AH38" s="38" t="n"/>
      <c r="AI38" s="32" t="n"/>
      <c r="AJ38" s="32" t="n"/>
      <c r="AK38" s="32" t="n"/>
      <c r="AL38" s="43" t="n"/>
      <c r="AM38" s="44" t="n"/>
    </row>
    <row r="39" ht="22" customHeight="1">
      <c r="A39" s="17">
        <f>IF(COUNTA($B39:$D39,$F39:$AM39)&gt;0,MAX($A$4:A38)+1,"")</f>
        <v/>
      </c>
      <c r="B39" s="18" t="n"/>
      <c r="C39" s="19" t="n"/>
      <c r="D39" s="18" t="n"/>
      <c r="E39" s="20">
        <f>IF(OR($L39="",$N39="",TRIM($Y39)=""),"","800797-011-"&amp;TEXT($L39,"0")&amp;"-"&amp;TEXT($N39,"0")&amp;"-"&amp;TRIM($Y39))</f>
        <v/>
      </c>
      <c r="F39" s="21" t="n"/>
      <c r="G39" s="22" t="n"/>
      <c r="H39" s="19" t="n"/>
      <c r="I39" s="23" t="n"/>
      <c r="J39" s="19" t="n"/>
      <c r="K39" s="18" t="n"/>
      <c r="L39" s="24" t="n"/>
      <c r="M39" s="24" t="n"/>
      <c r="N39" s="24" t="n"/>
      <c r="O39" s="25" t="n"/>
      <c r="P39" s="19" t="n"/>
      <c r="Q39" s="18" t="n"/>
      <c r="R39" s="22" t="n"/>
      <c r="S39" s="23" t="n"/>
      <c r="T39" s="19" t="n"/>
      <c r="U39" s="19" t="n"/>
      <c r="V39" s="19" t="n"/>
      <c r="W39" s="26" t="n"/>
      <c r="X39" s="18" t="n"/>
      <c r="Y39" s="18" t="n"/>
      <c r="Z39" s="18" t="n"/>
      <c r="AA39" s="18" t="n"/>
      <c r="AB39" s="18" t="n"/>
      <c r="AC39" s="24" t="n"/>
      <c r="AD39" s="27" t="n"/>
      <c r="AE39" s="28" t="n"/>
      <c r="AF39" s="28" t="n"/>
      <c r="AG39" s="26" t="n"/>
      <c r="AH39" s="24" t="n"/>
      <c r="AI39" s="18" t="n"/>
      <c r="AJ39" s="18" t="n"/>
      <c r="AK39" s="18" t="n"/>
      <c r="AL39" s="29" t="n"/>
      <c r="AM39" s="30" t="n"/>
    </row>
    <row r="40" ht="22" customHeight="1">
      <c r="A40" s="31">
        <f>IF(COUNTA($B40:$D40,$F40:$AM40)&gt;0,MAX($A$4:A39)+1,"")</f>
        <v/>
      </c>
      <c r="B40" s="32" t="n"/>
      <c r="C40" s="33" t="n"/>
      <c r="D40" s="32" t="n"/>
      <c r="E40" s="34">
        <f>IF(OR($L40="",$N40="",TRIM($Y40)=""),"","800797-011-"&amp;TEXT($L40,"0")&amp;"-"&amp;TEXT($N40,"0")&amp;"-"&amp;TRIM($Y40))</f>
        <v/>
      </c>
      <c r="F40" s="35" t="n"/>
      <c r="G40" s="36" t="n"/>
      <c r="H40" s="33" t="n"/>
      <c r="I40" s="37" t="n"/>
      <c r="J40" s="33" t="n"/>
      <c r="K40" s="32" t="n"/>
      <c r="L40" s="38" t="n"/>
      <c r="M40" s="38" t="n"/>
      <c r="N40" s="38" t="n"/>
      <c r="O40" s="39" t="n"/>
      <c r="P40" s="33" t="n"/>
      <c r="Q40" s="32" t="n"/>
      <c r="R40" s="36" t="n"/>
      <c r="S40" s="37" t="n"/>
      <c r="T40" s="33" t="n"/>
      <c r="U40" s="33" t="n"/>
      <c r="V40" s="33" t="n"/>
      <c r="W40" s="40" t="n"/>
      <c r="X40" s="32" t="n"/>
      <c r="Y40" s="32" t="n"/>
      <c r="Z40" s="32" t="n"/>
      <c r="AA40" s="32" t="n"/>
      <c r="AB40" s="32" t="n"/>
      <c r="AC40" s="38" t="n"/>
      <c r="AD40" s="41" t="n"/>
      <c r="AE40" s="42" t="n"/>
      <c r="AF40" s="42" t="n"/>
      <c r="AG40" s="40" t="n"/>
      <c r="AH40" s="38" t="n"/>
      <c r="AI40" s="32" t="n"/>
      <c r="AJ40" s="32" t="n"/>
      <c r="AK40" s="32" t="n"/>
      <c r="AL40" s="43" t="n"/>
      <c r="AM40" s="44" t="n"/>
    </row>
    <row r="41" ht="22" customHeight="1">
      <c r="A41" s="17">
        <f>IF(COUNTA($B41:$D41,$F41:$AM41)&gt;0,MAX($A$4:A40)+1,"")</f>
        <v/>
      </c>
      <c r="B41" s="18" t="n"/>
      <c r="C41" s="19" t="n"/>
      <c r="D41" s="18" t="n"/>
      <c r="E41" s="20">
        <f>IF(OR($L41="",$N41="",TRIM($Y41)=""),"","800797-011-"&amp;TEXT($L41,"0")&amp;"-"&amp;TEXT($N41,"0")&amp;"-"&amp;TRIM($Y41))</f>
        <v/>
      </c>
      <c r="F41" s="21" t="n"/>
      <c r="G41" s="22" t="n"/>
      <c r="H41" s="19" t="n"/>
      <c r="I41" s="23" t="n"/>
      <c r="J41" s="19" t="n"/>
      <c r="K41" s="18" t="n"/>
      <c r="L41" s="24" t="n"/>
      <c r="M41" s="24" t="n"/>
      <c r="N41" s="24" t="n"/>
      <c r="O41" s="25" t="n"/>
      <c r="P41" s="19" t="n"/>
      <c r="Q41" s="18" t="n"/>
      <c r="R41" s="22" t="n"/>
      <c r="S41" s="23" t="n"/>
      <c r="T41" s="19" t="n"/>
      <c r="U41" s="19" t="n"/>
      <c r="V41" s="19" t="n"/>
      <c r="W41" s="26" t="n"/>
      <c r="X41" s="18" t="n"/>
      <c r="Y41" s="18" t="n"/>
      <c r="Z41" s="18" t="n"/>
      <c r="AA41" s="18" t="n"/>
      <c r="AB41" s="18" t="n"/>
      <c r="AC41" s="24" t="n"/>
      <c r="AD41" s="27" t="n"/>
      <c r="AE41" s="28" t="n"/>
      <c r="AF41" s="28" t="n"/>
      <c r="AG41" s="26" t="n"/>
      <c r="AH41" s="24" t="n"/>
      <c r="AI41" s="18" t="n"/>
      <c r="AJ41" s="18" t="n"/>
      <c r="AK41" s="18" t="n"/>
      <c r="AL41" s="29" t="n"/>
      <c r="AM41" s="30" t="n"/>
    </row>
    <row r="42" ht="22" customHeight="1">
      <c r="A42" s="31">
        <f>IF(COUNTA($B42:$D42,$F42:$AM42)&gt;0,MAX($A$4:A41)+1,"")</f>
        <v/>
      </c>
      <c r="B42" s="32" t="n"/>
      <c r="C42" s="33" t="n"/>
      <c r="D42" s="32" t="n"/>
      <c r="E42" s="34">
        <f>IF(OR($L42="",$N42="",TRIM($Y42)=""),"","800797-011-"&amp;TEXT($L42,"0")&amp;"-"&amp;TEXT($N42,"0")&amp;"-"&amp;TRIM($Y42))</f>
        <v/>
      </c>
      <c r="F42" s="35" t="n"/>
      <c r="G42" s="36" t="n"/>
      <c r="H42" s="33" t="n"/>
      <c r="I42" s="37" t="n"/>
      <c r="J42" s="33" t="n"/>
      <c r="K42" s="32" t="n"/>
      <c r="L42" s="38" t="n"/>
      <c r="M42" s="38" t="n"/>
      <c r="N42" s="38" t="n"/>
      <c r="O42" s="39" t="n"/>
      <c r="P42" s="33" t="n"/>
      <c r="Q42" s="32" t="n"/>
      <c r="R42" s="36" t="n"/>
      <c r="S42" s="37" t="n"/>
      <c r="T42" s="33" t="n"/>
      <c r="U42" s="33" t="n"/>
      <c r="V42" s="33" t="n"/>
      <c r="W42" s="40" t="n"/>
      <c r="X42" s="32" t="n"/>
      <c r="Y42" s="32" t="n"/>
      <c r="Z42" s="32" t="n"/>
      <c r="AA42" s="32" t="n"/>
      <c r="AB42" s="32" t="n"/>
      <c r="AC42" s="38" t="n"/>
      <c r="AD42" s="41" t="n"/>
      <c r="AE42" s="42" t="n"/>
      <c r="AF42" s="42" t="n"/>
      <c r="AG42" s="40" t="n"/>
      <c r="AH42" s="38" t="n"/>
      <c r="AI42" s="32" t="n"/>
      <c r="AJ42" s="32" t="n"/>
      <c r="AK42" s="32" t="n"/>
      <c r="AL42" s="43" t="n"/>
      <c r="AM42" s="44" t="n"/>
    </row>
    <row r="43" ht="22" customHeight="1">
      <c r="A43" s="17">
        <f>IF(COUNTA($B43:$D43,$F43:$AM43)&gt;0,MAX($A$4:A42)+1,"")</f>
        <v/>
      </c>
      <c r="B43" s="18" t="n"/>
      <c r="C43" s="19" t="n"/>
      <c r="D43" s="18" t="n"/>
      <c r="E43" s="20">
        <f>IF(OR($L43="",$N43="",TRIM($Y43)=""),"","800797-011-"&amp;TEXT($L43,"0")&amp;"-"&amp;TEXT($N43,"0")&amp;"-"&amp;TRIM($Y43))</f>
        <v/>
      </c>
      <c r="F43" s="21" t="n"/>
      <c r="G43" s="22" t="n"/>
      <c r="H43" s="19" t="n"/>
      <c r="I43" s="23" t="n"/>
      <c r="J43" s="19" t="n"/>
      <c r="K43" s="18" t="n"/>
      <c r="L43" s="24" t="n"/>
      <c r="M43" s="24" t="n"/>
      <c r="N43" s="24" t="n"/>
      <c r="O43" s="25" t="n"/>
      <c r="P43" s="19" t="n"/>
      <c r="Q43" s="18" t="n"/>
      <c r="R43" s="22" t="n"/>
      <c r="S43" s="23" t="n"/>
      <c r="T43" s="19" t="n"/>
      <c r="U43" s="19" t="n"/>
      <c r="V43" s="19" t="n"/>
      <c r="W43" s="26" t="n"/>
      <c r="X43" s="18" t="n"/>
      <c r="Y43" s="18" t="n"/>
      <c r="Z43" s="18" t="n"/>
      <c r="AA43" s="18" t="n"/>
      <c r="AB43" s="18" t="n"/>
      <c r="AC43" s="24" t="n"/>
      <c r="AD43" s="27" t="n"/>
      <c r="AE43" s="28" t="n"/>
      <c r="AF43" s="28" t="n"/>
      <c r="AG43" s="26" t="n"/>
      <c r="AH43" s="24" t="n"/>
      <c r="AI43" s="18" t="n"/>
      <c r="AJ43" s="18" t="n"/>
      <c r="AK43" s="18" t="n"/>
      <c r="AL43" s="29" t="n"/>
      <c r="AM43" s="30" t="n"/>
    </row>
    <row r="44" ht="22" customHeight="1">
      <c r="A44" s="31">
        <f>IF(COUNTA($B44:$D44,$F44:$AM44)&gt;0,MAX($A$4:A43)+1,"")</f>
        <v/>
      </c>
      <c r="B44" s="32" t="n"/>
      <c r="C44" s="33" t="n"/>
      <c r="D44" s="32" t="n"/>
      <c r="E44" s="34">
        <f>IF(OR($L44="",$N44="",TRIM($Y44)=""),"","800797-011-"&amp;TEXT($L44,"0")&amp;"-"&amp;TEXT($N44,"0")&amp;"-"&amp;TRIM($Y44))</f>
        <v/>
      </c>
      <c r="F44" s="35" t="n"/>
      <c r="G44" s="36" t="n"/>
      <c r="H44" s="33" t="n"/>
      <c r="I44" s="37" t="n"/>
      <c r="J44" s="33" t="n"/>
      <c r="K44" s="32" t="n"/>
      <c r="L44" s="38" t="n"/>
      <c r="M44" s="38" t="n"/>
      <c r="N44" s="38" t="n"/>
      <c r="O44" s="39" t="n"/>
      <c r="P44" s="33" t="n"/>
      <c r="Q44" s="32" t="n"/>
      <c r="R44" s="36" t="n"/>
      <c r="S44" s="37" t="n"/>
      <c r="T44" s="33" t="n"/>
      <c r="U44" s="33" t="n"/>
      <c r="V44" s="33" t="n"/>
      <c r="W44" s="40" t="n"/>
      <c r="X44" s="32" t="n"/>
      <c r="Y44" s="32" t="n"/>
      <c r="Z44" s="32" t="n"/>
      <c r="AA44" s="32" t="n"/>
      <c r="AB44" s="32" t="n"/>
      <c r="AC44" s="38" t="n"/>
      <c r="AD44" s="41" t="n"/>
      <c r="AE44" s="42" t="n"/>
      <c r="AF44" s="42" t="n"/>
      <c r="AG44" s="40" t="n"/>
      <c r="AH44" s="38" t="n"/>
      <c r="AI44" s="32" t="n"/>
      <c r="AJ44" s="32" t="n"/>
      <c r="AK44" s="32" t="n"/>
      <c r="AL44" s="43" t="n"/>
      <c r="AM44" s="44" t="n"/>
    </row>
    <row r="45" ht="22" customHeight="1">
      <c r="A45" s="17">
        <f>IF(COUNTA($B45:$D45,$F45:$AM45)&gt;0,MAX($A$4:A44)+1,"")</f>
        <v/>
      </c>
      <c r="B45" s="18" t="n"/>
      <c r="C45" s="19" t="n"/>
      <c r="D45" s="18" t="n"/>
      <c r="E45" s="20">
        <f>IF(OR($L45="",$N45="",TRIM($Y45)=""),"","800797-011-"&amp;TEXT($L45,"0")&amp;"-"&amp;TEXT($N45,"0")&amp;"-"&amp;TRIM($Y45))</f>
        <v/>
      </c>
      <c r="F45" s="21" t="n"/>
      <c r="G45" s="22" t="n"/>
      <c r="H45" s="19" t="n"/>
      <c r="I45" s="23" t="n"/>
      <c r="J45" s="19" t="n"/>
      <c r="K45" s="18" t="n"/>
      <c r="L45" s="24" t="n"/>
      <c r="M45" s="24" t="n"/>
      <c r="N45" s="24" t="n"/>
      <c r="O45" s="25" t="n"/>
      <c r="P45" s="19" t="n"/>
      <c r="Q45" s="18" t="n"/>
      <c r="R45" s="22" t="n"/>
      <c r="S45" s="23" t="n"/>
      <c r="T45" s="19" t="n"/>
      <c r="U45" s="19" t="n"/>
      <c r="V45" s="19" t="n"/>
      <c r="W45" s="26" t="n"/>
      <c r="X45" s="18" t="n"/>
      <c r="Y45" s="18" t="n"/>
      <c r="Z45" s="18" t="n"/>
      <c r="AA45" s="18" t="n"/>
      <c r="AB45" s="18" t="n"/>
      <c r="AC45" s="24" t="n"/>
      <c r="AD45" s="27" t="n"/>
      <c r="AE45" s="28" t="n"/>
      <c r="AF45" s="28" t="n"/>
      <c r="AG45" s="26" t="n"/>
      <c r="AH45" s="24" t="n"/>
      <c r="AI45" s="18" t="n"/>
      <c r="AJ45" s="18" t="n"/>
      <c r="AK45" s="18" t="n"/>
      <c r="AL45" s="29" t="n"/>
      <c r="AM45" s="30" t="n"/>
    </row>
    <row r="46" ht="22" customHeight="1">
      <c r="A46" s="31">
        <f>IF(COUNTA($B46:$D46,$F46:$AM46)&gt;0,MAX($A$4:A45)+1,"")</f>
        <v/>
      </c>
      <c r="B46" s="32" t="n"/>
      <c r="C46" s="33" t="n"/>
      <c r="D46" s="32" t="n"/>
      <c r="E46" s="34">
        <f>IF(OR($L46="",$N46="",TRIM($Y46)=""),"","800797-011-"&amp;TEXT($L46,"0")&amp;"-"&amp;TEXT($N46,"0")&amp;"-"&amp;TRIM($Y46))</f>
        <v/>
      </c>
      <c r="F46" s="35" t="n"/>
      <c r="G46" s="36" t="n"/>
      <c r="H46" s="33" t="n"/>
      <c r="I46" s="37" t="n"/>
      <c r="J46" s="33" t="n"/>
      <c r="K46" s="32" t="n"/>
      <c r="L46" s="38" t="n"/>
      <c r="M46" s="38" t="n"/>
      <c r="N46" s="38" t="n"/>
      <c r="O46" s="39" t="n"/>
      <c r="P46" s="33" t="n"/>
      <c r="Q46" s="32" t="n"/>
      <c r="R46" s="36" t="n"/>
      <c r="S46" s="37" t="n"/>
      <c r="T46" s="33" t="n"/>
      <c r="U46" s="33" t="n"/>
      <c r="V46" s="33" t="n"/>
      <c r="W46" s="40" t="n"/>
      <c r="X46" s="32" t="n"/>
      <c r="Y46" s="32" t="n"/>
      <c r="Z46" s="32" t="n"/>
      <c r="AA46" s="32" t="n"/>
      <c r="AB46" s="32" t="n"/>
      <c r="AC46" s="38" t="n"/>
      <c r="AD46" s="41" t="n"/>
      <c r="AE46" s="42" t="n"/>
      <c r="AF46" s="42" t="n"/>
      <c r="AG46" s="40" t="n"/>
      <c r="AH46" s="38" t="n"/>
      <c r="AI46" s="32" t="n"/>
      <c r="AJ46" s="32" t="n"/>
      <c r="AK46" s="32" t="n"/>
      <c r="AL46" s="43" t="n"/>
      <c r="AM46" s="44" t="n"/>
    </row>
    <row r="47" ht="22" customHeight="1">
      <c r="A47" s="17">
        <f>IF(COUNTA($B47:$D47,$F47:$AM47)&gt;0,MAX($A$4:A46)+1,"")</f>
        <v/>
      </c>
      <c r="B47" s="18" t="n"/>
      <c r="C47" s="19" t="n"/>
      <c r="D47" s="18" t="n"/>
      <c r="E47" s="20">
        <f>IF(OR($L47="",$N47="",TRIM($Y47)=""),"","800797-011-"&amp;TEXT($L47,"0")&amp;"-"&amp;TEXT($N47,"0")&amp;"-"&amp;TRIM($Y47))</f>
        <v/>
      </c>
      <c r="F47" s="21" t="n"/>
      <c r="G47" s="22" t="n"/>
      <c r="H47" s="19" t="n"/>
      <c r="I47" s="23" t="n"/>
      <c r="J47" s="19" t="n"/>
      <c r="K47" s="18" t="n"/>
      <c r="L47" s="24" t="n"/>
      <c r="M47" s="24" t="n"/>
      <c r="N47" s="24" t="n"/>
      <c r="O47" s="25" t="n"/>
      <c r="P47" s="19" t="n"/>
      <c r="Q47" s="18" t="n"/>
      <c r="R47" s="22" t="n"/>
      <c r="S47" s="23" t="n"/>
      <c r="T47" s="19" t="n"/>
      <c r="U47" s="19" t="n"/>
      <c r="V47" s="19" t="n"/>
      <c r="W47" s="26" t="n"/>
      <c r="X47" s="18" t="n"/>
      <c r="Y47" s="18" t="n"/>
      <c r="Z47" s="18" t="n"/>
      <c r="AA47" s="18" t="n"/>
      <c r="AB47" s="18" t="n"/>
      <c r="AC47" s="24" t="n"/>
      <c r="AD47" s="27" t="n"/>
      <c r="AE47" s="28" t="n"/>
      <c r="AF47" s="28" t="n"/>
      <c r="AG47" s="26" t="n"/>
      <c r="AH47" s="24" t="n"/>
      <c r="AI47" s="18" t="n"/>
      <c r="AJ47" s="18" t="n"/>
      <c r="AK47" s="18" t="n"/>
      <c r="AL47" s="29" t="n"/>
      <c r="AM47" s="30" t="n"/>
    </row>
    <row r="48" ht="22" customHeight="1">
      <c r="A48" s="31">
        <f>IF(COUNTA($B48:$D48,$F48:$AM48)&gt;0,MAX($A$4:A47)+1,"")</f>
        <v/>
      </c>
      <c r="B48" s="32" t="n"/>
      <c r="C48" s="33" t="n"/>
      <c r="D48" s="32" t="n"/>
      <c r="E48" s="34">
        <f>IF(OR($L48="",$N48="",TRIM($Y48)=""),"","800797-011-"&amp;TEXT($L48,"0")&amp;"-"&amp;TEXT($N48,"0")&amp;"-"&amp;TRIM($Y48))</f>
        <v/>
      </c>
      <c r="F48" s="35" t="n"/>
      <c r="G48" s="36" t="n"/>
      <c r="H48" s="33" t="n"/>
      <c r="I48" s="37" t="n"/>
      <c r="J48" s="33" t="n"/>
      <c r="K48" s="32" t="n"/>
      <c r="L48" s="38" t="n"/>
      <c r="M48" s="38" t="n"/>
      <c r="N48" s="38" t="n"/>
      <c r="O48" s="39" t="n"/>
      <c r="P48" s="33" t="n"/>
      <c r="Q48" s="32" t="n"/>
      <c r="R48" s="36" t="n"/>
      <c r="S48" s="37" t="n"/>
      <c r="T48" s="33" t="n"/>
      <c r="U48" s="33" t="n"/>
      <c r="V48" s="33" t="n"/>
      <c r="W48" s="40" t="n"/>
      <c r="X48" s="32" t="n"/>
      <c r="Y48" s="32" t="n"/>
      <c r="Z48" s="32" t="n"/>
      <c r="AA48" s="32" t="n"/>
      <c r="AB48" s="32" t="n"/>
      <c r="AC48" s="38" t="n"/>
      <c r="AD48" s="41" t="n"/>
      <c r="AE48" s="42" t="n"/>
      <c r="AF48" s="42" t="n"/>
      <c r="AG48" s="40" t="n"/>
      <c r="AH48" s="38" t="n"/>
      <c r="AI48" s="32" t="n"/>
      <c r="AJ48" s="32" t="n"/>
      <c r="AK48" s="32" t="n"/>
      <c r="AL48" s="43" t="n"/>
      <c r="AM48" s="44" t="n"/>
    </row>
    <row r="49" ht="22" customHeight="1">
      <c r="A49" s="17">
        <f>IF(COUNTA($B49:$D49,$F49:$AM49)&gt;0,MAX($A$4:A48)+1,"")</f>
        <v/>
      </c>
      <c r="B49" s="18" t="n"/>
      <c r="C49" s="19" t="n"/>
      <c r="D49" s="18" t="n"/>
      <c r="E49" s="20">
        <f>IF(OR($L49="",$N49="",TRIM($Y49)=""),"","800797-011-"&amp;TEXT($L49,"0")&amp;"-"&amp;TEXT($N49,"0")&amp;"-"&amp;TRIM($Y49))</f>
        <v/>
      </c>
      <c r="F49" s="21" t="n"/>
      <c r="G49" s="22" t="n"/>
      <c r="H49" s="19" t="n"/>
      <c r="I49" s="23" t="n"/>
      <c r="J49" s="19" t="n"/>
      <c r="K49" s="18" t="n"/>
      <c r="L49" s="24" t="n"/>
      <c r="M49" s="24" t="n"/>
      <c r="N49" s="24" t="n"/>
      <c r="O49" s="25" t="n"/>
      <c r="P49" s="19" t="n"/>
      <c r="Q49" s="18" t="n"/>
      <c r="R49" s="22" t="n"/>
      <c r="S49" s="23" t="n"/>
      <c r="T49" s="19" t="n"/>
      <c r="U49" s="19" t="n"/>
      <c r="V49" s="19" t="n"/>
      <c r="W49" s="26" t="n"/>
      <c r="X49" s="18" t="n"/>
      <c r="Y49" s="18" t="n"/>
      <c r="Z49" s="18" t="n"/>
      <c r="AA49" s="18" t="n"/>
      <c r="AB49" s="18" t="n"/>
      <c r="AC49" s="24" t="n"/>
      <c r="AD49" s="27" t="n"/>
      <c r="AE49" s="28" t="n"/>
      <c r="AF49" s="28" t="n"/>
      <c r="AG49" s="26" t="n"/>
      <c r="AH49" s="24" t="n"/>
      <c r="AI49" s="18" t="n"/>
      <c r="AJ49" s="18" t="n"/>
      <c r="AK49" s="18" t="n"/>
      <c r="AL49" s="29" t="n"/>
      <c r="AM49" s="30" t="n"/>
    </row>
    <row r="50" ht="22" customHeight="1">
      <c r="A50" s="31">
        <f>IF(COUNTA($B50:$D50,$F50:$AM50)&gt;0,MAX($A$4:A49)+1,"")</f>
        <v/>
      </c>
      <c r="B50" s="32" t="n"/>
      <c r="C50" s="33" t="n"/>
      <c r="D50" s="32" t="n"/>
      <c r="E50" s="34">
        <f>IF(OR($L50="",$N50="",TRIM($Y50)=""),"","800797-011-"&amp;TEXT($L50,"0")&amp;"-"&amp;TEXT($N50,"0")&amp;"-"&amp;TRIM($Y50))</f>
        <v/>
      </c>
      <c r="F50" s="35" t="n"/>
      <c r="G50" s="36" t="n"/>
      <c r="H50" s="33" t="n"/>
      <c r="I50" s="37" t="n"/>
      <c r="J50" s="33" t="n"/>
      <c r="K50" s="32" t="n"/>
      <c r="L50" s="38" t="n"/>
      <c r="M50" s="38" t="n"/>
      <c r="N50" s="38" t="n"/>
      <c r="O50" s="39" t="n"/>
      <c r="P50" s="33" t="n"/>
      <c r="Q50" s="32" t="n"/>
      <c r="R50" s="36" t="n"/>
      <c r="S50" s="37" t="n"/>
      <c r="T50" s="33" t="n"/>
      <c r="U50" s="33" t="n"/>
      <c r="V50" s="33" t="n"/>
      <c r="W50" s="40" t="n"/>
      <c r="X50" s="32" t="n"/>
      <c r="Y50" s="32" t="n"/>
      <c r="Z50" s="32" t="n"/>
      <c r="AA50" s="32" t="n"/>
      <c r="AB50" s="32" t="n"/>
      <c r="AC50" s="38" t="n"/>
      <c r="AD50" s="41" t="n"/>
      <c r="AE50" s="42" t="n"/>
      <c r="AF50" s="42" t="n"/>
      <c r="AG50" s="40" t="n"/>
      <c r="AH50" s="38" t="n"/>
      <c r="AI50" s="32" t="n"/>
      <c r="AJ50" s="32" t="n"/>
      <c r="AK50" s="32" t="n"/>
      <c r="AL50" s="43" t="n"/>
      <c r="AM50" s="44" t="n"/>
    </row>
    <row r="51" ht="22" customHeight="1">
      <c r="A51" s="17">
        <f>IF(COUNTA($B51:$D51,$F51:$AM51)&gt;0,MAX($A$4:A50)+1,"")</f>
        <v/>
      </c>
      <c r="B51" s="18" t="n"/>
      <c r="C51" s="19" t="n"/>
      <c r="D51" s="18" t="n"/>
      <c r="E51" s="20">
        <f>IF(OR($L51="",$N51="",TRIM($Y51)=""),"","800797-011-"&amp;TEXT($L51,"0")&amp;"-"&amp;TEXT($N51,"0")&amp;"-"&amp;TRIM($Y51))</f>
        <v/>
      </c>
      <c r="F51" s="21" t="n"/>
      <c r="G51" s="22" t="n"/>
      <c r="H51" s="19" t="n"/>
      <c r="I51" s="23" t="n"/>
      <c r="J51" s="19" t="n"/>
      <c r="K51" s="18" t="n"/>
      <c r="L51" s="24" t="n"/>
      <c r="M51" s="24" t="n"/>
      <c r="N51" s="24" t="n"/>
      <c r="O51" s="25" t="n"/>
      <c r="P51" s="19" t="n"/>
      <c r="Q51" s="18" t="n"/>
      <c r="R51" s="22" t="n"/>
      <c r="S51" s="23" t="n"/>
      <c r="T51" s="19" t="n"/>
      <c r="U51" s="19" t="n"/>
      <c r="V51" s="19" t="n"/>
      <c r="W51" s="26" t="n"/>
      <c r="X51" s="18" t="n"/>
      <c r="Y51" s="18" t="n"/>
      <c r="Z51" s="18" t="n"/>
      <c r="AA51" s="18" t="n"/>
      <c r="AB51" s="18" t="n"/>
      <c r="AC51" s="24" t="n"/>
      <c r="AD51" s="27" t="n"/>
      <c r="AE51" s="28" t="n"/>
      <c r="AF51" s="28" t="n"/>
      <c r="AG51" s="26" t="n"/>
      <c r="AH51" s="24" t="n"/>
      <c r="AI51" s="18" t="n"/>
      <c r="AJ51" s="18" t="n"/>
      <c r="AK51" s="18" t="n"/>
      <c r="AL51" s="29" t="n"/>
      <c r="AM51" s="30" t="n"/>
    </row>
    <row r="52" ht="22" customHeight="1">
      <c r="A52" s="31">
        <f>IF(COUNTA($B52:$D52,$F52:$AM52)&gt;0,MAX($A$4:A51)+1,"")</f>
        <v/>
      </c>
      <c r="B52" s="32" t="n"/>
      <c r="C52" s="33" t="n"/>
      <c r="D52" s="32" t="n"/>
      <c r="E52" s="34">
        <f>IF(OR($L52="",$N52="",TRIM($Y52)=""),"","800797-011-"&amp;TEXT($L52,"0")&amp;"-"&amp;TEXT($N52,"0")&amp;"-"&amp;TRIM($Y52))</f>
        <v/>
      </c>
      <c r="F52" s="35" t="n"/>
      <c r="G52" s="36" t="n"/>
      <c r="H52" s="33" t="n"/>
      <c r="I52" s="37" t="n"/>
      <c r="J52" s="33" t="n"/>
      <c r="K52" s="32" t="n"/>
      <c r="L52" s="38" t="n"/>
      <c r="M52" s="38" t="n"/>
      <c r="N52" s="38" t="n"/>
      <c r="O52" s="39" t="n"/>
      <c r="P52" s="33" t="n"/>
      <c r="Q52" s="32" t="n"/>
      <c r="R52" s="36" t="n"/>
      <c r="S52" s="37" t="n"/>
      <c r="T52" s="33" t="n"/>
      <c r="U52" s="33" t="n"/>
      <c r="V52" s="33" t="n"/>
      <c r="W52" s="40" t="n"/>
      <c r="X52" s="32" t="n"/>
      <c r="Y52" s="32" t="n"/>
      <c r="Z52" s="32" t="n"/>
      <c r="AA52" s="32" t="n"/>
      <c r="AB52" s="32" t="n"/>
      <c r="AC52" s="38" t="n"/>
      <c r="AD52" s="41" t="n"/>
      <c r="AE52" s="42" t="n"/>
      <c r="AF52" s="42" t="n"/>
      <c r="AG52" s="40" t="n"/>
      <c r="AH52" s="38" t="n"/>
      <c r="AI52" s="32" t="n"/>
      <c r="AJ52" s="32" t="n"/>
      <c r="AK52" s="32" t="n"/>
      <c r="AL52" s="43" t="n"/>
      <c r="AM52" s="44" t="n"/>
    </row>
    <row r="53" ht="22" customHeight="1">
      <c r="A53" s="17">
        <f>IF(COUNTA($B53:$D53,$F53:$AM53)&gt;0,MAX($A$4:A52)+1,"")</f>
        <v/>
      </c>
      <c r="B53" s="18" t="n"/>
      <c r="C53" s="19" t="n"/>
      <c r="D53" s="18" t="n"/>
      <c r="E53" s="20">
        <f>IF(OR($L53="",$N53="",TRIM($Y53)=""),"","800797-011-"&amp;TEXT($L53,"0")&amp;"-"&amp;TEXT($N53,"0")&amp;"-"&amp;TRIM($Y53))</f>
        <v/>
      </c>
      <c r="F53" s="21" t="n"/>
      <c r="G53" s="22" t="n"/>
      <c r="H53" s="19" t="n"/>
      <c r="I53" s="23" t="n"/>
      <c r="J53" s="19" t="n"/>
      <c r="K53" s="18" t="n"/>
      <c r="L53" s="24" t="n"/>
      <c r="M53" s="24" t="n"/>
      <c r="N53" s="24" t="n"/>
      <c r="O53" s="25" t="n"/>
      <c r="P53" s="19" t="n"/>
      <c r="Q53" s="18" t="n"/>
      <c r="R53" s="22" t="n"/>
      <c r="S53" s="23" t="n"/>
      <c r="T53" s="19" t="n"/>
      <c r="U53" s="19" t="n"/>
      <c r="V53" s="19" t="n"/>
      <c r="W53" s="26" t="n"/>
      <c r="X53" s="18" t="n"/>
      <c r="Y53" s="18" t="n"/>
      <c r="Z53" s="18" t="n"/>
      <c r="AA53" s="18" t="n"/>
      <c r="AB53" s="18" t="n"/>
      <c r="AC53" s="24" t="n"/>
      <c r="AD53" s="27" t="n"/>
      <c r="AE53" s="28" t="n"/>
      <c r="AF53" s="28" t="n"/>
      <c r="AG53" s="26" t="n"/>
      <c r="AH53" s="24" t="n"/>
      <c r="AI53" s="18" t="n"/>
      <c r="AJ53" s="18" t="n"/>
      <c r="AK53" s="18" t="n"/>
      <c r="AL53" s="29" t="n"/>
      <c r="AM53" s="30" t="n"/>
    </row>
    <row r="54" ht="22" customHeight="1">
      <c r="A54" s="31">
        <f>IF(COUNTA($B54:$D54,$F54:$AM54)&gt;0,MAX($A$4:A53)+1,"")</f>
        <v/>
      </c>
      <c r="B54" s="32" t="n"/>
      <c r="C54" s="33" t="n"/>
      <c r="D54" s="32" t="n"/>
      <c r="E54" s="34">
        <f>IF(OR($L54="",$N54="",TRIM($Y54)=""),"","800797-011-"&amp;TEXT($L54,"0")&amp;"-"&amp;TEXT($N54,"0")&amp;"-"&amp;TRIM($Y54))</f>
        <v/>
      </c>
      <c r="F54" s="35" t="n"/>
      <c r="G54" s="36" t="n"/>
      <c r="H54" s="33" t="n"/>
      <c r="I54" s="37" t="n"/>
      <c r="J54" s="33" t="n"/>
      <c r="K54" s="32" t="n"/>
      <c r="L54" s="38" t="n"/>
      <c r="M54" s="38" t="n"/>
      <c r="N54" s="38" t="n"/>
      <c r="O54" s="39" t="n"/>
      <c r="P54" s="33" t="n"/>
      <c r="Q54" s="32" t="n"/>
      <c r="R54" s="36" t="n"/>
      <c r="S54" s="37" t="n"/>
      <c r="T54" s="33" t="n"/>
      <c r="U54" s="33" t="n"/>
      <c r="V54" s="33" t="n"/>
      <c r="W54" s="40" t="n"/>
      <c r="X54" s="32" t="n"/>
      <c r="Y54" s="32" t="n"/>
      <c r="Z54" s="32" t="n"/>
      <c r="AA54" s="32" t="n"/>
      <c r="AB54" s="32" t="n"/>
      <c r="AC54" s="38" t="n"/>
      <c r="AD54" s="41" t="n"/>
      <c r="AE54" s="42" t="n"/>
      <c r="AF54" s="42" t="n"/>
      <c r="AG54" s="40" t="n"/>
      <c r="AH54" s="38" t="n"/>
      <c r="AI54" s="32" t="n"/>
      <c r="AJ54" s="32" t="n"/>
      <c r="AK54" s="32" t="n"/>
      <c r="AL54" s="43" t="n"/>
      <c r="AM54" s="44" t="n"/>
    </row>
    <row r="55" ht="22" customHeight="1">
      <c r="A55" s="17">
        <f>IF(COUNTA($B55:$D55,$F55:$AM55)&gt;0,MAX($A$4:A54)+1,"")</f>
        <v/>
      </c>
      <c r="B55" s="18" t="n"/>
      <c r="C55" s="19" t="n"/>
      <c r="D55" s="18" t="n"/>
      <c r="E55" s="20">
        <f>IF(OR($L55="",$N55="",TRIM($Y55)=""),"","800797-011-"&amp;TEXT($L55,"0")&amp;"-"&amp;TEXT($N55,"0")&amp;"-"&amp;TRIM($Y55))</f>
        <v/>
      </c>
      <c r="F55" s="21" t="n"/>
      <c r="G55" s="22" t="n"/>
      <c r="H55" s="19" t="n"/>
      <c r="I55" s="23" t="n"/>
      <c r="J55" s="19" t="n"/>
      <c r="K55" s="18" t="n"/>
      <c r="L55" s="24" t="n"/>
      <c r="M55" s="24" t="n"/>
      <c r="N55" s="24" t="n"/>
      <c r="O55" s="25" t="n"/>
      <c r="P55" s="19" t="n"/>
      <c r="Q55" s="18" t="n"/>
      <c r="R55" s="22" t="n"/>
      <c r="S55" s="23" t="n"/>
      <c r="T55" s="19" t="n"/>
      <c r="U55" s="19" t="n"/>
      <c r="V55" s="19" t="n"/>
      <c r="W55" s="26" t="n"/>
      <c r="X55" s="18" t="n"/>
      <c r="Y55" s="18" t="n"/>
      <c r="Z55" s="18" t="n"/>
      <c r="AA55" s="18" t="n"/>
      <c r="AB55" s="18" t="n"/>
      <c r="AC55" s="24" t="n"/>
      <c r="AD55" s="27" t="n"/>
      <c r="AE55" s="28" t="n"/>
      <c r="AF55" s="28" t="n"/>
      <c r="AG55" s="26" t="n"/>
      <c r="AH55" s="24" t="n"/>
      <c r="AI55" s="18" t="n"/>
      <c r="AJ55" s="18" t="n"/>
      <c r="AK55" s="18" t="n"/>
      <c r="AL55" s="29" t="n"/>
      <c r="AM55" s="30" t="n"/>
    </row>
    <row r="56" ht="22" customHeight="1">
      <c r="A56" s="31">
        <f>IF(COUNTA($B56:$D56,$F56:$AM56)&gt;0,MAX($A$4:A55)+1,"")</f>
        <v/>
      </c>
      <c r="B56" s="32" t="n"/>
      <c r="C56" s="33" t="n"/>
      <c r="D56" s="32" t="n"/>
      <c r="E56" s="34">
        <f>IF(OR($L56="",$N56="",TRIM($Y56)=""),"","800797-011-"&amp;TEXT($L56,"0")&amp;"-"&amp;TEXT($N56,"0")&amp;"-"&amp;TRIM($Y56))</f>
        <v/>
      </c>
      <c r="F56" s="35" t="n"/>
      <c r="G56" s="36" t="n"/>
      <c r="H56" s="33" t="n"/>
      <c r="I56" s="37" t="n"/>
      <c r="J56" s="33" t="n"/>
      <c r="K56" s="32" t="n"/>
      <c r="L56" s="38" t="n"/>
      <c r="M56" s="38" t="n"/>
      <c r="N56" s="38" t="n"/>
      <c r="O56" s="39" t="n"/>
      <c r="P56" s="33" t="n"/>
      <c r="Q56" s="32" t="n"/>
      <c r="R56" s="36" t="n"/>
      <c r="S56" s="37" t="n"/>
      <c r="T56" s="33" t="n"/>
      <c r="U56" s="33" t="n"/>
      <c r="V56" s="33" t="n"/>
      <c r="W56" s="40" t="n"/>
      <c r="X56" s="32" t="n"/>
      <c r="Y56" s="32" t="n"/>
      <c r="Z56" s="32" t="n"/>
      <c r="AA56" s="32" t="n"/>
      <c r="AB56" s="32" t="n"/>
      <c r="AC56" s="38" t="n"/>
      <c r="AD56" s="41" t="n"/>
      <c r="AE56" s="42" t="n"/>
      <c r="AF56" s="42" t="n"/>
      <c r="AG56" s="40" t="n"/>
      <c r="AH56" s="38" t="n"/>
      <c r="AI56" s="32" t="n"/>
      <c r="AJ56" s="32" t="n"/>
      <c r="AK56" s="32" t="n"/>
      <c r="AL56" s="43" t="n"/>
      <c r="AM56" s="44" t="n"/>
    </row>
    <row r="57" ht="22" customHeight="1">
      <c r="A57" s="17">
        <f>IF(COUNTA($B57:$D57,$F57:$AM57)&gt;0,MAX($A$4:A56)+1,"")</f>
        <v/>
      </c>
      <c r="B57" s="18" t="n"/>
      <c r="C57" s="19" t="n"/>
      <c r="D57" s="18" t="n"/>
      <c r="E57" s="20">
        <f>IF(OR($L57="",$N57="",TRIM($Y57)=""),"","800797-011-"&amp;TEXT($L57,"0")&amp;"-"&amp;TEXT($N57,"0")&amp;"-"&amp;TRIM($Y57))</f>
        <v/>
      </c>
      <c r="F57" s="21" t="n"/>
      <c r="G57" s="22" t="n"/>
      <c r="H57" s="19" t="n"/>
      <c r="I57" s="23" t="n"/>
      <c r="J57" s="19" t="n"/>
      <c r="K57" s="18" t="n"/>
      <c r="L57" s="24" t="n"/>
      <c r="M57" s="24" t="n"/>
      <c r="N57" s="24" t="n"/>
      <c r="O57" s="25" t="n"/>
      <c r="P57" s="19" t="n"/>
      <c r="Q57" s="18" t="n"/>
      <c r="R57" s="22" t="n"/>
      <c r="S57" s="23" t="n"/>
      <c r="T57" s="19" t="n"/>
      <c r="U57" s="19" t="n"/>
      <c r="V57" s="19" t="n"/>
      <c r="W57" s="26" t="n"/>
      <c r="X57" s="18" t="n"/>
      <c r="Y57" s="18" t="n"/>
      <c r="Z57" s="18" t="n"/>
      <c r="AA57" s="18" t="n"/>
      <c r="AB57" s="18" t="n"/>
      <c r="AC57" s="24" t="n"/>
      <c r="AD57" s="27" t="n"/>
      <c r="AE57" s="28" t="n"/>
      <c r="AF57" s="28" t="n"/>
      <c r="AG57" s="26" t="n"/>
      <c r="AH57" s="24" t="n"/>
      <c r="AI57" s="18" t="n"/>
      <c r="AJ57" s="18" t="n"/>
      <c r="AK57" s="18" t="n"/>
      <c r="AL57" s="29" t="n"/>
      <c r="AM57" s="30" t="n"/>
    </row>
    <row r="58" ht="22" customHeight="1">
      <c r="A58" s="31">
        <f>IF(COUNTA($B58:$D58,$F58:$AM58)&gt;0,MAX($A$4:A57)+1,"")</f>
        <v/>
      </c>
      <c r="B58" s="32" t="n"/>
      <c r="C58" s="33" t="n"/>
      <c r="D58" s="32" t="n"/>
      <c r="E58" s="34">
        <f>IF(OR($L58="",$N58="",TRIM($Y58)=""),"","800797-011-"&amp;TEXT($L58,"0")&amp;"-"&amp;TEXT($N58,"0")&amp;"-"&amp;TRIM($Y58))</f>
        <v/>
      </c>
      <c r="F58" s="35" t="n"/>
      <c r="G58" s="36" t="n"/>
      <c r="H58" s="33" t="n"/>
      <c r="I58" s="37" t="n"/>
      <c r="J58" s="33" t="n"/>
      <c r="K58" s="32" t="n"/>
      <c r="L58" s="38" t="n"/>
      <c r="M58" s="38" t="n"/>
      <c r="N58" s="38" t="n"/>
      <c r="O58" s="39" t="n"/>
      <c r="P58" s="33" t="n"/>
      <c r="Q58" s="32" t="n"/>
      <c r="R58" s="36" t="n"/>
      <c r="S58" s="37" t="n"/>
      <c r="T58" s="33" t="n"/>
      <c r="U58" s="33" t="n"/>
      <c r="V58" s="33" t="n"/>
      <c r="W58" s="40" t="n"/>
      <c r="X58" s="32" t="n"/>
      <c r="Y58" s="32" t="n"/>
      <c r="Z58" s="32" t="n"/>
      <c r="AA58" s="32" t="n"/>
      <c r="AB58" s="32" t="n"/>
      <c r="AC58" s="38" t="n"/>
      <c r="AD58" s="41" t="n"/>
      <c r="AE58" s="42" t="n"/>
      <c r="AF58" s="42" t="n"/>
      <c r="AG58" s="40" t="n"/>
      <c r="AH58" s="38" t="n"/>
      <c r="AI58" s="32" t="n"/>
      <c r="AJ58" s="32" t="n"/>
      <c r="AK58" s="32" t="n"/>
      <c r="AL58" s="43" t="n"/>
      <c r="AM58" s="44" t="n"/>
    </row>
    <row r="59" ht="22" customHeight="1">
      <c r="A59" s="17">
        <f>IF(COUNTA($B59:$D59,$F59:$AM59)&gt;0,MAX($A$4:A58)+1,"")</f>
        <v/>
      </c>
      <c r="B59" s="18" t="n"/>
      <c r="C59" s="19" t="n"/>
      <c r="D59" s="18" t="n"/>
      <c r="E59" s="20">
        <f>IF(OR($L59="",$N59="",TRIM($Y59)=""),"","800797-011-"&amp;TEXT($L59,"0")&amp;"-"&amp;TEXT($N59,"0")&amp;"-"&amp;TRIM($Y59))</f>
        <v/>
      </c>
      <c r="F59" s="21" t="n"/>
      <c r="G59" s="22" t="n"/>
      <c r="H59" s="19" t="n"/>
      <c r="I59" s="23" t="n"/>
      <c r="J59" s="19" t="n"/>
      <c r="K59" s="18" t="n"/>
      <c r="L59" s="24" t="n"/>
      <c r="M59" s="24" t="n"/>
      <c r="N59" s="24" t="n"/>
      <c r="O59" s="25" t="n"/>
      <c r="P59" s="19" t="n"/>
      <c r="Q59" s="18" t="n"/>
      <c r="R59" s="22" t="n"/>
      <c r="S59" s="23" t="n"/>
      <c r="T59" s="19" t="n"/>
      <c r="U59" s="19" t="n"/>
      <c r="V59" s="19" t="n"/>
      <c r="W59" s="26" t="n"/>
      <c r="X59" s="18" t="n"/>
      <c r="Y59" s="18" t="n"/>
      <c r="Z59" s="18" t="n"/>
      <c r="AA59" s="18" t="n"/>
      <c r="AB59" s="18" t="n"/>
      <c r="AC59" s="24" t="n"/>
      <c r="AD59" s="27" t="n"/>
      <c r="AE59" s="28" t="n"/>
      <c r="AF59" s="28" t="n"/>
      <c r="AG59" s="26" t="n"/>
      <c r="AH59" s="24" t="n"/>
      <c r="AI59" s="18" t="n"/>
      <c r="AJ59" s="18" t="n"/>
      <c r="AK59" s="18" t="n"/>
      <c r="AL59" s="29" t="n"/>
      <c r="AM59" s="30" t="n"/>
    </row>
    <row r="60" ht="22" customHeight="1">
      <c r="A60" s="31">
        <f>IF(COUNTA($B60:$D60,$F60:$AM60)&gt;0,MAX($A$4:A59)+1,"")</f>
        <v/>
      </c>
      <c r="B60" s="32" t="n"/>
      <c r="C60" s="33" t="n"/>
      <c r="D60" s="32" t="n"/>
      <c r="E60" s="34">
        <f>IF(OR($L60="",$N60="",TRIM($Y60)=""),"","800797-011-"&amp;TEXT($L60,"0")&amp;"-"&amp;TEXT($N60,"0")&amp;"-"&amp;TRIM($Y60))</f>
        <v/>
      </c>
      <c r="F60" s="35" t="n"/>
      <c r="G60" s="36" t="n"/>
      <c r="H60" s="33" t="n"/>
      <c r="I60" s="37" t="n"/>
      <c r="J60" s="33" t="n"/>
      <c r="K60" s="32" t="n"/>
      <c r="L60" s="38" t="n"/>
      <c r="M60" s="38" t="n"/>
      <c r="N60" s="38" t="n"/>
      <c r="O60" s="39" t="n"/>
      <c r="P60" s="33" t="n"/>
      <c r="Q60" s="32" t="n"/>
      <c r="R60" s="36" t="n"/>
      <c r="S60" s="37" t="n"/>
      <c r="T60" s="33" t="n"/>
      <c r="U60" s="33" t="n"/>
      <c r="V60" s="33" t="n"/>
      <c r="W60" s="40" t="n"/>
      <c r="X60" s="32" t="n"/>
      <c r="Y60" s="32" t="n"/>
      <c r="Z60" s="32" t="n"/>
      <c r="AA60" s="32" t="n"/>
      <c r="AB60" s="32" t="n"/>
      <c r="AC60" s="38" t="n"/>
      <c r="AD60" s="41" t="n"/>
      <c r="AE60" s="42" t="n"/>
      <c r="AF60" s="42" t="n"/>
      <c r="AG60" s="40" t="n"/>
      <c r="AH60" s="38" t="n"/>
      <c r="AI60" s="32" t="n"/>
      <c r="AJ60" s="32" t="n"/>
      <c r="AK60" s="32" t="n"/>
      <c r="AL60" s="43" t="n"/>
      <c r="AM60" s="44" t="n"/>
    </row>
    <row r="61" ht="22" customHeight="1">
      <c r="A61" s="17">
        <f>IF(COUNTA($B61:$D61,$F61:$AM61)&gt;0,MAX($A$4:A60)+1,"")</f>
        <v/>
      </c>
      <c r="B61" s="18" t="n"/>
      <c r="C61" s="19" t="n"/>
      <c r="D61" s="18" t="n"/>
      <c r="E61" s="20">
        <f>IF(OR($L61="",$N61="",TRIM($Y61)=""),"","800797-011-"&amp;TEXT($L61,"0")&amp;"-"&amp;TEXT($N61,"0")&amp;"-"&amp;TRIM($Y61))</f>
        <v/>
      </c>
      <c r="F61" s="21" t="n"/>
      <c r="G61" s="22" t="n"/>
      <c r="H61" s="19" t="n"/>
      <c r="I61" s="23" t="n"/>
      <c r="J61" s="19" t="n"/>
      <c r="K61" s="18" t="n"/>
      <c r="L61" s="24" t="n"/>
      <c r="M61" s="24" t="n"/>
      <c r="N61" s="24" t="n"/>
      <c r="O61" s="25" t="n"/>
      <c r="P61" s="19" t="n"/>
      <c r="Q61" s="18" t="n"/>
      <c r="R61" s="22" t="n"/>
      <c r="S61" s="23" t="n"/>
      <c r="T61" s="19" t="n"/>
      <c r="U61" s="19" t="n"/>
      <c r="V61" s="19" t="n"/>
      <c r="W61" s="26" t="n"/>
      <c r="X61" s="18" t="n"/>
      <c r="Y61" s="18" t="n"/>
      <c r="Z61" s="18" t="n"/>
      <c r="AA61" s="18" t="n"/>
      <c r="AB61" s="18" t="n"/>
      <c r="AC61" s="24" t="n"/>
      <c r="AD61" s="27" t="n"/>
      <c r="AE61" s="28" t="n"/>
      <c r="AF61" s="28" t="n"/>
      <c r="AG61" s="26" t="n"/>
      <c r="AH61" s="24" t="n"/>
      <c r="AI61" s="18" t="n"/>
      <c r="AJ61" s="18" t="n"/>
      <c r="AK61" s="18" t="n"/>
      <c r="AL61" s="29" t="n"/>
      <c r="AM61" s="30" t="n"/>
    </row>
    <row r="62" ht="22" customHeight="1">
      <c r="A62" s="31">
        <f>IF(COUNTA($B62:$D62,$F62:$AM62)&gt;0,MAX($A$4:A61)+1,"")</f>
        <v/>
      </c>
      <c r="B62" s="32" t="n"/>
      <c r="C62" s="33" t="n"/>
      <c r="D62" s="32" t="n"/>
      <c r="E62" s="34">
        <f>IF(OR($L62="",$N62="",TRIM($Y62)=""),"","800797-011-"&amp;TEXT($L62,"0")&amp;"-"&amp;TEXT($N62,"0")&amp;"-"&amp;TRIM($Y62))</f>
        <v/>
      </c>
      <c r="F62" s="35" t="n"/>
      <c r="G62" s="36" t="n"/>
      <c r="H62" s="33" t="n"/>
      <c r="I62" s="37" t="n"/>
      <c r="J62" s="33" t="n"/>
      <c r="K62" s="32" t="n"/>
      <c r="L62" s="38" t="n"/>
      <c r="M62" s="38" t="n"/>
      <c r="N62" s="38" t="n"/>
      <c r="O62" s="39" t="n"/>
      <c r="P62" s="33" t="n"/>
      <c r="Q62" s="32" t="n"/>
      <c r="R62" s="36" t="n"/>
      <c r="S62" s="37" t="n"/>
      <c r="T62" s="33" t="n"/>
      <c r="U62" s="33" t="n"/>
      <c r="V62" s="33" t="n"/>
      <c r="W62" s="40" t="n"/>
      <c r="X62" s="32" t="n"/>
      <c r="Y62" s="32" t="n"/>
      <c r="Z62" s="32" t="n"/>
      <c r="AA62" s="32" t="n"/>
      <c r="AB62" s="32" t="n"/>
      <c r="AC62" s="38" t="n"/>
      <c r="AD62" s="41" t="n"/>
      <c r="AE62" s="42" t="n"/>
      <c r="AF62" s="42" t="n"/>
      <c r="AG62" s="40" t="n"/>
      <c r="AH62" s="38" t="n"/>
      <c r="AI62" s="32" t="n"/>
      <c r="AJ62" s="32" t="n"/>
      <c r="AK62" s="32" t="n"/>
      <c r="AL62" s="43" t="n"/>
      <c r="AM62" s="44" t="n"/>
    </row>
    <row r="63" ht="22" customHeight="1">
      <c r="A63" s="17">
        <f>IF(COUNTA($B63:$D63,$F63:$AM63)&gt;0,MAX($A$4:A62)+1,"")</f>
        <v/>
      </c>
      <c r="B63" s="18" t="n"/>
      <c r="C63" s="19" t="n"/>
      <c r="D63" s="18" t="n"/>
      <c r="E63" s="20">
        <f>IF(OR($L63="",$N63="",TRIM($Y63)=""),"","800797-011-"&amp;TEXT($L63,"0")&amp;"-"&amp;TEXT($N63,"0")&amp;"-"&amp;TRIM($Y63))</f>
        <v/>
      </c>
      <c r="F63" s="21" t="n"/>
      <c r="G63" s="22" t="n"/>
      <c r="H63" s="19" t="n"/>
      <c r="I63" s="23" t="n"/>
      <c r="J63" s="19" t="n"/>
      <c r="K63" s="18" t="n"/>
      <c r="L63" s="24" t="n"/>
      <c r="M63" s="24" t="n"/>
      <c r="N63" s="24" t="n"/>
      <c r="O63" s="25" t="n"/>
      <c r="P63" s="19" t="n"/>
      <c r="Q63" s="18" t="n"/>
      <c r="R63" s="22" t="n"/>
      <c r="S63" s="23" t="n"/>
      <c r="T63" s="19" t="n"/>
      <c r="U63" s="19" t="n"/>
      <c r="V63" s="19" t="n"/>
      <c r="W63" s="26" t="n"/>
      <c r="X63" s="18" t="n"/>
      <c r="Y63" s="18" t="n"/>
      <c r="Z63" s="18" t="n"/>
      <c r="AA63" s="18" t="n"/>
      <c r="AB63" s="18" t="n"/>
      <c r="AC63" s="24" t="n"/>
      <c r="AD63" s="27" t="n"/>
      <c r="AE63" s="28" t="n"/>
      <c r="AF63" s="28" t="n"/>
      <c r="AG63" s="26" t="n"/>
      <c r="AH63" s="24" t="n"/>
      <c r="AI63" s="18" t="n"/>
      <c r="AJ63" s="18" t="n"/>
      <c r="AK63" s="18" t="n"/>
      <c r="AL63" s="29" t="n"/>
      <c r="AM63" s="30" t="n"/>
    </row>
    <row r="64" ht="22" customHeight="1">
      <c r="A64" s="31">
        <f>IF(COUNTA($B64:$D64,$F64:$AM64)&gt;0,MAX($A$4:A63)+1,"")</f>
        <v/>
      </c>
      <c r="B64" s="32" t="n"/>
      <c r="C64" s="33" t="n"/>
      <c r="D64" s="32" t="n"/>
      <c r="E64" s="34">
        <f>IF(OR($L64="",$N64="",TRIM($Y64)=""),"","800797-011-"&amp;TEXT($L64,"0")&amp;"-"&amp;TEXT($N64,"0")&amp;"-"&amp;TRIM($Y64))</f>
        <v/>
      </c>
      <c r="F64" s="35" t="n"/>
      <c r="G64" s="36" t="n"/>
      <c r="H64" s="33" t="n"/>
      <c r="I64" s="37" t="n"/>
      <c r="J64" s="33" t="n"/>
      <c r="K64" s="32" t="n"/>
      <c r="L64" s="38" t="n"/>
      <c r="M64" s="38" t="n"/>
      <c r="N64" s="38" t="n"/>
      <c r="O64" s="39" t="n"/>
      <c r="P64" s="33" t="n"/>
      <c r="Q64" s="32" t="n"/>
      <c r="R64" s="36" t="n"/>
      <c r="S64" s="37" t="n"/>
      <c r="T64" s="33" t="n"/>
      <c r="U64" s="33" t="n"/>
      <c r="V64" s="33" t="n"/>
      <c r="W64" s="40" t="n"/>
      <c r="X64" s="32" t="n"/>
      <c r="Y64" s="32" t="n"/>
      <c r="Z64" s="32" t="n"/>
      <c r="AA64" s="32" t="n"/>
      <c r="AB64" s="32" t="n"/>
      <c r="AC64" s="38" t="n"/>
      <c r="AD64" s="41" t="n"/>
      <c r="AE64" s="42" t="n"/>
      <c r="AF64" s="42" t="n"/>
      <c r="AG64" s="40" t="n"/>
      <c r="AH64" s="38" t="n"/>
      <c r="AI64" s="32" t="n"/>
      <c r="AJ64" s="32" t="n"/>
      <c r="AK64" s="32" t="n"/>
      <c r="AL64" s="43" t="n"/>
      <c r="AM64" s="44" t="n"/>
    </row>
    <row r="65" ht="22" customHeight="1">
      <c r="A65" s="17">
        <f>IF(COUNTA($B65:$D65,$F65:$AM65)&gt;0,MAX($A$4:A64)+1,"")</f>
        <v/>
      </c>
      <c r="B65" s="18" t="n"/>
      <c r="C65" s="19" t="n"/>
      <c r="D65" s="18" t="n"/>
      <c r="E65" s="20">
        <f>IF(OR($L65="",$N65="",TRIM($Y65)=""),"","800797-011-"&amp;TEXT($L65,"0")&amp;"-"&amp;TEXT($N65,"0")&amp;"-"&amp;TRIM($Y65))</f>
        <v/>
      </c>
      <c r="F65" s="21" t="n"/>
      <c r="G65" s="22" t="n"/>
      <c r="H65" s="19" t="n"/>
      <c r="I65" s="23" t="n"/>
      <c r="J65" s="19" t="n"/>
      <c r="K65" s="18" t="n"/>
      <c r="L65" s="24" t="n"/>
      <c r="M65" s="24" t="n"/>
      <c r="N65" s="24" t="n"/>
      <c r="O65" s="25" t="n"/>
      <c r="P65" s="19" t="n"/>
      <c r="Q65" s="18" t="n"/>
      <c r="R65" s="22" t="n"/>
      <c r="S65" s="23" t="n"/>
      <c r="T65" s="19" t="n"/>
      <c r="U65" s="19" t="n"/>
      <c r="V65" s="19" t="n"/>
      <c r="W65" s="26" t="n"/>
      <c r="X65" s="18" t="n"/>
      <c r="Y65" s="18" t="n"/>
      <c r="Z65" s="18" t="n"/>
      <c r="AA65" s="18" t="n"/>
      <c r="AB65" s="18" t="n"/>
      <c r="AC65" s="24" t="n"/>
      <c r="AD65" s="27" t="n"/>
      <c r="AE65" s="28" t="n"/>
      <c r="AF65" s="28" t="n"/>
      <c r="AG65" s="26" t="n"/>
      <c r="AH65" s="24" t="n"/>
      <c r="AI65" s="18" t="n"/>
      <c r="AJ65" s="18" t="n"/>
      <c r="AK65" s="18" t="n"/>
      <c r="AL65" s="29" t="n"/>
      <c r="AM65" s="30" t="n"/>
    </row>
    <row r="66" ht="22" customHeight="1">
      <c r="A66" s="31">
        <f>IF(COUNTA($B66:$D66,$F66:$AM66)&gt;0,MAX($A$4:A65)+1,"")</f>
        <v/>
      </c>
      <c r="B66" s="32" t="n"/>
      <c r="C66" s="33" t="n"/>
      <c r="D66" s="32" t="n"/>
      <c r="E66" s="34">
        <f>IF(OR($L66="",$N66="",TRIM($Y66)=""),"","800797-011-"&amp;TEXT($L66,"0")&amp;"-"&amp;TEXT($N66,"0")&amp;"-"&amp;TRIM($Y66))</f>
        <v/>
      </c>
      <c r="F66" s="35" t="n"/>
      <c r="G66" s="36" t="n"/>
      <c r="H66" s="33" t="n"/>
      <c r="I66" s="37" t="n"/>
      <c r="J66" s="33" t="n"/>
      <c r="K66" s="32" t="n"/>
      <c r="L66" s="38" t="n"/>
      <c r="M66" s="38" t="n"/>
      <c r="N66" s="38" t="n"/>
      <c r="O66" s="39" t="n"/>
      <c r="P66" s="33" t="n"/>
      <c r="Q66" s="32" t="n"/>
      <c r="R66" s="36" t="n"/>
      <c r="S66" s="37" t="n"/>
      <c r="T66" s="33" t="n"/>
      <c r="U66" s="33" t="n"/>
      <c r="V66" s="33" t="n"/>
      <c r="W66" s="40" t="n"/>
      <c r="X66" s="32" t="n"/>
      <c r="Y66" s="32" t="n"/>
      <c r="Z66" s="32" t="n"/>
      <c r="AA66" s="32" t="n"/>
      <c r="AB66" s="32" t="n"/>
      <c r="AC66" s="38" t="n"/>
      <c r="AD66" s="41" t="n"/>
      <c r="AE66" s="42" t="n"/>
      <c r="AF66" s="42" t="n"/>
      <c r="AG66" s="40" t="n"/>
      <c r="AH66" s="38" t="n"/>
      <c r="AI66" s="32" t="n"/>
      <c r="AJ66" s="32" t="n"/>
      <c r="AK66" s="32" t="n"/>
      <c r="AL66" s="43" t="n"/>
      <c r="AM66" s="44" t="n"/>
    </row>
    <row r="67" ht="22" customHeight="1">
      <c r="A67" s="17">
        <f>IF(COUNTA($B67:$D67,$F67:$AM67)&gt;0,MAX($A$4:A66)+1,"")</f>
        <v/>
      </c>
      <c r="B67" s="18" t="n"/>
      <c r="C67" s="19" t="n"/>
      <c r="D67" s="18" t="n"/>
      <c r="E67" s="20">
        <f>IF(OR($L67="",$N67="",TRIM($Y67)=""),"","800797-011-"&amp;TEXT($L67,"0")&amp;"-"&amp;TEXT($N67,"0")&amp;"-"&amp;TRIM($Y67))</f>
        <v/>
      </c>
      <c r="F67" s="21" t="n"/>
      <c r="G67" s="22" t="n"/>
      <c r="H67" s="19" t="n"/>
      <c r="I67" s="23" t="n"/>
      <c r="J67" s="19" t="n"/>
      <c r="K67" s="18" t="n"/>
      <c r="L67" s="24" t="n"/>
      <c r="M67" s="24" t="n"/>
      <c r="N67" s="24" t="n"/>
      <c r="O67" s="25" t="n"/>
      <c r="P67" s="19" t="n"/>
      <c r="Q67" s="18" t="n"/>
      <c r="R67" s="22" t="n"/>
      <c r="S67" s="23" t="n"/>
      <c r="T67" s="19" t="n"/>
      <c r="U67" s="19" t="n"/>
      <c r="V67" s="19" t="n"/>
      <c r="W67" s="26" t="n"/>
      <c r="X67" s="18" t="n"/>
      <c r="Y67" s="18" t="n"/>
      <c r="Z67" s="18" t="n"/>
      <c r="AA67" s="18" t="n"/>
      <c r="AB67" s="18" t="n"/>
      <c r="AC67" s="24" t="n"/>
      <c r="AD67" s="27" t="n"/>
      <c r="AE67" s="28" t="n"/>
      <c r="AF67" s="28" t="n"/>
      <c r="AG67" s="26" t="n"/>
      <c r="AH67" s="24" t="n"/>
      <c r="AI67" s="18" t="n"/>
      <c r="AJ67" s="18" t="n"/>
      <c r="AK67" s="18" t="n"/>
      <c r="AL67" s="29" t="n"/>
      <c r="AM67" s="30" t="n"/>
    </row>
    <row r="68" ht="22" customHeight="1">
      <c r="A68" s="31">
        <f>IF(COUNTA($B68:$D68,$F68:$AM68)&gt;0,MAX($A$4:A67)+1,"")</f>
        <v/>
      </c>
      <c r="B68" s="32" t="n"/>
      <c r="C68" s="33" t="n"/>
      <c r="D68" s="32" t="n"/>
      <c r="E68" s="34">
        <f>IF(OR($L68="",$N68="",TRIM($Y68)=""),"","800797-011-"&amp;TEXT($L68,"0")&amp;"-"&amp;TEXT($N68,"0")&amp;"-"&amp;TRIM($Y68))</f>
        <v/>
      </c>
      <c r="F68" s="35" t="n"/>
      <c r="G68" s="36" t="n"/>
      <c r="H68" s="33" t="n"/>
      <c r="I68" s="37" t="n"/>
      <c r="J68" s="33" t="n"/>
      <c r="K68" s="32" t="n"/>
      <c r="L68" s="38" t="n"/>
      <c r="M68" s="38" t="n"/>
      <c r="N68" s="38" t="n"/>
      <c r="O68" s="39" t="n"/>
      <c r="P68" s="33" t="n"/>
      <c r="Q68" s="32" t="n"/>
      <c r="R68" s="36" t="n"/>
      <c r="S68" s="37" t="n"/>
      <c r="T68" s="33" t="n"/>
      <c r="U68" s="33" t="n"/>
      <c r="V68" s="33" t="n"/>
      <c r="W68" s="40" t="n"/>
      <c r="X68" s="32" t="n"/>
      <c r="Y68" s="32" t="n"/>
      <c r="Z68" s="32" t="n"/>
      <c r="AA68" s="32" t="n"/>
      <c r="AB68" s="32" t="n"/>
      <c r="AC68" s="38" t="n"/>
      <c r="AD68" s="41" t="n"/>
      <c r="AE68" s="42" t="n"/>
      <c r="AF68" s="42" t="n"/>
      <c r="AG68" s="40" t="n"/>
      <c r="AH68" s="38" t="n"/>
      <c r="AI68" s="32" t="n"/>
      <c r="AJ68" s="32" t="n"/>
      <c r="AK68" s="32" t="n"/>
      <c r="AL68" s="43" t="n"/>
      <c r="AM68" s="44" t="n"/>
    </row>
    <row r="69" ht="22" customHeight="1">
      <c r="A69" s="17">
        <f>IF(COUNTA($B69:$D69,$F69:$AM69)&gt;0,MAX($A$4:A68)+1,"")</f>
        <v/>
      </c>
      <c r="B69" s="18" t="n"/>
      <c r="C69" s="19" t="n"/>
      <c r="D69" s="18" t="n"/>
      <c r="E69" s="20">
        <f>IF(OR($L69="",$N69="",TRIM($Y69)=""),"","800797-011-"&amp;TEXT($L69,"0")&amp;"-"&amp;TEXT($N69,"0")&amp;"-"&amp;TRIM($Y69))</f>
        <v/>
      </c>
      <c r="F69" s="21" t="n"/>
      <c r="G69" s="22" t="n"/>
      <c r="H69" s="19" t="n"/>
      <c r="I69" s="23" t="n"/>
      <c r="J69" s="19" t="n"/>
      <c r="K69" s="18" t="n"/>
      <c r="L69" s="24" t="n"/>
      <c r="M69" s="24" t="n"/>
      <c r="N69" s="24" t="n"/>
      <c r="O69" s="25" t="n"/>
      <c r="P69" s="19" t="n"/>
      <c r="Q69" s="18" t="n"/>
      <c r="R69" s="22" t="n"/>
      <c r="S69" s="23" t="n"/>
      <c r="T69" s="19" t="n"/>
      <c r="U69" s="19" t="n"/>
      <c r="V69" s="19" t="n"/>
      <c r="W69" s="26" t="n"/>
      <c r="X69" s="18" t="n"/>
      <c r="Y69" s="18" t="n"/>
      <c r="Z69" s="18" t="n"/>
      <c r="AA69" s="18" t="n"/>
      <c r="AB69" s="18" t="n"/>
      <c r="AC69" s="24" t="n"/>
      <c r="AD69" s="27" t="n"/>
      <c r="AE69" s="28" t="n"/>
      <c r="AF69" s="28" t="n"/>
      <c r="AG69" s="26" t="n"/>
      <c r="AH69" s="24" t="n"/>
      <c r="AI69" s="18" t="n"/>
      <c r="AJ69" s="18" t="n"/>
      <c r="AK69" s="18" t="n"/>
      <c r="AL69" s="29" t="n"/>
      <c r="AM69" s="30" t="n"/>
    </row>
    <row r="70" ht="22" customHeight="1">
      <c r="A70" s="31">
        <f>IF(COUNTA($B70:$D70,$F70:$AM70)&gt;0,MAX($A$4:A69)+1,"")</f>
        <v/>
      </c>
      <c r="B70" s="32" t="n"/>
      <c r="C70" s="33" t="n"/>
      <c r="D70" s="32" t="n"/>
      <c r="E70" s="34">
        <f>IF(OR($L70="",$N70="",TRIM($Y70)=""),"","800797-011-"&amp;TEXT($L70,"0")&amp;"-"&amp;TEXT($N70,"0")&amp;"-"&amp;TRIM($Y70))</f>
        <v/>
      </c>
      <c r="F70" s="35" t="n"/>
      <c r="G70" s="36" t="n"/>
      <c r="H70" s="33" t="n"/>
      <c r="I70" s="37" t="n"/>
      <c r="J70" s="33" t="n"/>
      <c r="K70" s="32" t="n"/>
      <c r="L70" s="38" t="n"/>
      <c r="M70" s="38" t="n"/>
      <c r="N70" s="38" t="n"/>
      <c r="O70" s="39" t="n"/>
      <c r="P70" s="33" t="n"/>
      <c r="Q70" s="32" t="n"/>
      <c r="R70" s="36" t="n"/>
      <c r="S70" s="37" t="n"/>
      <c r="T70" s="33" t="n"/>
      <c r="U70" s="33" t="n"/>
      <c r="V70" s="33" t="n"/>
      <c r="W70" s="40" t="n"/>
      <c r="X70" s="32" t="n"/>
      <c r="Y70" s="32" t="n"/>
      <c r="Z70" s="32" t="n"/>
      <c r="AA70" s="32" t="n"/>
      <c r="AB70" s="32" t="n"/>
      <c r="AC70" s="38" t="n"/>
      <c r="AD70" s="41" t="n"/>
      <c r="AE70" s="42" t="n"/>
      <c r="AF70" s="42" t="n"/>
      <c r="AG70" s="40" t="n"/>
      <c r="AH70" s="38" t="n"/>
      <c r="AI70" s="32" t="n"/>
      <c r="AJ70" s="32" t="n"/>
      <c r="AK70" s="32" t="n"/>
      <c r="AL70" s="43" t="n"/>
      <c r="AM70" s="44" t="n"/>
    </row>
    <row r="71" ht="22" customHeight="1">
      <c r="A71" s="17">
        <f>IF(COUNTA($B71:$D71,$F71:$AM71)&gt;0,MAX($A$4:A70)+1,"")</f>
        <v/>
      </c>
      <c r="B71" s="18" t="n"/>
      <c r="C71" s="19" t="n"/>
      <c r="D71" s="18" t="n"/>
      <c r="E71" s="20">
        <f>IF(OR($L71="",$N71="",TRIM($Y71)=""),"","800797-011-"&amp;TEXT($L71,"0")&amp;"-"&amp;TEXT($N71,"0")&amp;"-"&amp;TRIM($Y71))</f>
        <v/>
      </c>
      <c r="F71" s="21" t="n"/>
      <c r="G71" s="22" t="n"/>
      <c r="H71" s="19" t="n"/>
      <c r="I71" s="23" t="n"/>
      <c r="J71" s="19" t="n"/>
      <c r="K71" s="18" t="n"/>
      <c r="L71" s="24" t="n"/>
      <c r="M71" s="24" t="n"/>
      <c r="N71" s="24" t="n"/>
      <c r="O71" s="25" t="n"/>
      <c r="P71" s="19" t="n"/>
      <c r="Q71" s="18" t="n"/>
      <c r="R71" s="22" t="n"/>
      <c r="S71" s="23" t="n"/>
      <c r="T71" s="19" t="n"/>
      <c r="U71" s="19" t="n"/>
      <c r="V71" s="19" t="n"/>
      <c r="W71" s="26" t="n"/>
      <c r="X71" s="18" t="n"/>
      <c r="Y71" s="18" t="n"/>
      <c r="Z71" s="18" t="n"/>
      <c r="AA71" s="18" t="n"/>
      <c r="AB71" s="18" t="n"/>
      <c r="AC71" s="24" t="n"/>
      <c r="AD71" s="27" t="n"/>
      <c r="AE71" s="28" t="n"/>
      <c r="AF71" s="28" t="n"/>
      <c r="AG71" s="26" t="n"/>
      <c r="AH71" s="24" t="n"/>
      <c r="AI71" s="18" t="n"/>
      <c r="AJ71" s="18" t="n"/>
      <c r="AK71" s="18" t="n"/>
      <c r="AL71" s="29" t="n"/>
      <c r="AM71" s="30" t="n"/>
    </row>
    <row r="72" ht="22" customHeight="1">
      <c r="A72" s="31">
        <f>IF(COUNTA($B72:$D72,$F72:$AM72)&gt;0,MAX($A$4:A71)+1,"")</f>
        <v/>
      </c>
      <c r="B72" s="32" t="n"/>
      <c r="C72" s="33" t="n"/>
      <c r="D72" s="32" t="n"/>
      <c r="E72" s="34">
        <f>IF(OR($L72="",$N72="",TRIM($Y72)=""),"","800797-011-"&amp;TEXT($L72,"0")&amp;"-"&amp;TEXT($N72,"0")&amp;"-"&amp;TRIM($Y72))</f>
        <v/>
      </c>
      <c r="F72" s="35" t="n"/>
      <c r="G72" s="36" t="n"/>
      <c r="H72" s="33" t="n"/>
      <c r="I72" s="37" t="n"/>
      <c r="J72" s="33" t="n"/>
      <c r="K72" s="32" t="n"/>
      <c r="L72" s="38" t="n"/>
      <c r="M72" s="38" t="n"/>
      <c r="N72" s="38" t="n"/>
      <c r="O72" s="39" t="n"/>
      <c r="P72" s="33" t="n"/>
      <c r="Q72" s="32" t="n"/>
      <c r="R72" s="36" t="n"/>
      <c r="S72" s="37" t="n"/>
      <c r="T72" s="33" t="n"/>
      <c r="U72" s="33" t="n"/>
      <c r="V72" s="33" t="n"/>
      <c r="W72" s="40" t="n"/>
      <c r="X72" s="32" t="n"/>
      <c r="Y72" s="32" t="n"/>
      <c r="Z72" s="32" t="n"/>
      <c r="AA72" s="32" t="n"/>
      <c r="AB72" s="32" t="n"/>
      <c r="AC72" s="38" t="n"/>
      <c r="AD72" s="41" t="n"/>
      <c r="AE72" s="42" t="n"/>
      <c r="AF72" s="42" t="n"/>
      <c r="AG72" s="40" t="n"/>
      <c r="AH72" s="38" t="n"/>
      <c r="AI72" s="32" t="n"/>
      <c r="AJ72" s="32" t="n"/>
      <c r="AK72" s="32" t="n"/>
      <c r="AL72" s="43" t="n"/>
      <c r="AM72" s="44" t="n"/>
    </row>
    <row r="73" ht="22" customHeight="1">
      <c r="A73" s="17">
        <f>IF(COUNTA($B73:$D73,$F73:$AM73)&gt;0,MAX($A$4:A72)+1,"")</f>
        <v/>
      </c>
      <c r="B73" s="18" t="n"/>
      <c r="C73" s="19" t="n"/>
      <c r="D73" s="18" t="n"/>
      <c r="E73" s="20">
        <f>IF(OR($L73="",$N73="",TRIM($Y73)=""),"","800797-011-"&amp;TEXT($L73,"0")&amp;"-"&amp;TEXT($N73,"0")&amp;"-"&amp;TRIM($Y73))</f>
        <v/>
      </c>
      <c r="F73" s="21" t="n"/>
      <c r="G73" s="22" t="n"/>
      <c r="H73" s="19" t="n"/>
      <c r="I73" s="23" t="n"/>
      <c r="J73" s="19" t="n"/>
      <c r="K73" s="18" t="n"/>
      <c r="L73" s="24" t="n"/>
      <c r="M73" s="24" t="n"/>
      <c r="N73" s="24" t="n"/>
      <c r="O73" s="25" t="n"/>
      <c r="P73" s="19" t="n"/>
      <c r="Q73" s="18" t="n"/>
      <c r="R73" s="22" t="n"/>
      <c r="S73" s="23" t="n"/>
      <c r="T73" s="19" t="n"/>
      <c r="U73" s="19" t="n"/>
      <c r="V73" s="19" t="n"/>
      <c r="W73" s="26" t="n"/>
      <c r="X73" s="18" t="n"/>
      <c r="Y73" s="18" t="n"/>
      <c r="Z73" s="18" t="n"/>
      <c r="AA73" s="18" t="n"/>
      <c r="AB73" s="18" t="n"/>
      <c r="AC73" s="24" t="n"/>
      <c r="AD73" s="27" t="n"/>
      <c r="AE73" s="28" t="n"/>
      <c r="AF73" s="28" t="n"/>
      <c r="AG73" s="26" t="n"/>
      <c r="AH73" s="24" t="n"/>
      <c r="AI73" s="18" t="n"/>
      <c r="AJ73" s="18" t="n"/>
      <c r="AK73" s="18" t="n"/>
      <c r="AL73" s="29" t="n"/>
      <c r="AM73" s="30" t="n"/>
    </row>
    <row r="74" ht="22" customHeight="1">
      <c r="A74" s="31">
        <f>IF(COUNTA($B74:$D74,$F74:$AM74)&gt;0,MAX($A$4:A73)+1,"")</f>
        <v/>
      </c>
      <c r="B74" s="32" t="n"/>
      <c r="C74" s="33" t="n"/>
      <c r="D74" s="32" t="n"/>
      <c r="E74" s="34">
        <f>IF(OR($L74="",$N74="",TRIM($Y74)=""),"","800797-011-"&amp;TEXT($L74,"0")&amp;"-"&amp;TEXT($N74,"0")&amp;"-"&amp;TRIM($Y74))</f>
        <v/>
      </c>
      <c r="F74" s="35" t="n"/>
      <c r="G74" s="36" t="n"/>
      <c r="H74" s="33" t="n"/>
      <c r="I74" s="37" t="n"/>
      <c r="J74" s="33" t="n"/>
      <c r="K74" s="32" t="n"/>
      <c r="L74" s="38" t="n"/>
      <c r="M74" s="38" t="n"/>
      <c r="N74" s="38" t="n"/>
      <c r="O74" s="39" t="n"/>
      <c r="P74" s="33" t="n"/>
      <c r="Q74" s="32" t="n"/>
      <c r="R74" s="36" t="n"/>
      <c r="S74" s="37" t="n"/>
      <c r="T74" s="33" t="n"/>
      <c r="U74" s="33" t="n"/>
      <c r="V74" s="33" t="n"/>
      <c r="W74" s="40" t="n"/>
      <c r="X74" s="32" t="n"/>
      <c r="Y74" s="32" t="n"/>
      <c r="Z74" s="32" t="n"/>
      <c r="AA74" s="32" t="n"/>
      <c r="AB74" s="32" t="n"/>
      <c r="AC74" s="38" t="n"/>
      <c r="AD74" s="41" t="n"/>
      <c r="AE74" s="42" t="n"/>
      <c r="AF74" s="42" t="n"/>
      <c r="AG74" s="40" t="n"/>
      <c r="AH74" s="38" t="n"/>
      <c r="AI74" s="32" t="n"/>
      <c r="AJ74" s="32" t="n"/>
      <c r="AK74" s="32" t="n"/>
      <c r="AL74" s="43" t="n"/>
      <c r="AM74" s="44" t="n"/>
    </row>
    <row r="75" ht="22" customHeight="1">
      <c r="A75" s="17">
        <f>IF(COUNTA($B75:$D75,$F75:$AM75)&gt;0,MAX($A$4:A74)+1,"")</f>
        <v/>
      </c>
      <c r="B75" s="18" t="n"/>
      <c r="C75" s="19" t="n"/>
      <c r="D75" s="18" t="n"/>
      <c r="E75" s="20">
        <f>IF(OR($L75="",$N75="",TRIM($Y75)=""),"","800797-011-"&amp;TEXT($L75,"0")&amp;"-"&amp;TEXT($N75,"0")&amp;"-"&amp;TRIM($Y75))</f>
        <v/>
      </c>
      <c r="F75" s="21" t="n"/>
      <c r="G75" s="22" t="n"/>
      <c r="H75" s="19" t="n"/>
      <c r="I75" s="23" t="n"/>
      <c r="J75" s="19" t="n"/>
      <c r="K75" s="18" t="n"/>
      <c r="L75" s="24" t="n"/>
      <c r="M75" s="24" t="n"/>
      <c r="N75" s="24" t="n"/>
      <c r="O75" s="25" t="n"/>
      <c r="P75" s="19" t="n"/>
      <c r="Q75" s="18" t="n"/>
      <c r="R75" s="22" t="n"/>
      <c r="S75" s="23" t="n"/>
      <c r="T75" s="19" t="n"/>
      <c r="U75" s="19" t="n"/>
      <c r="V75" s="19" t="n"/>
      <c r="W75" s="26" t="n"/>
      <c r="X75" s="18" t="n"/>
      <c r="Y75" s="18" t="n"/>
      <c r="Z75" s="18" t="n"/>
      <c r="AA75" s="18" t="n"/>
      <c r="AB75" s="18" t="n"/>
      <c r="AC75" s="24" t="n"/>
      <c r="AD75" s="27" t="n"/>
      <c r="AE75" s="28" t="n"/>
      <c r="AF75" s="28" t="n"/>
      <c r="AG75" s="26" t="n"/>
      <c r="AH75" s="24" t="n"/>
      <c r="AI75" s="18" t="n"/>
      <c r="AJ75" s="18" t="n"/>
      <c r="AK75" s="18" t="n"/>
      <c r="AL75" s="29" t="n"/>
      <c r="AM75" s="30" t="n"/>
    </row>
    <row r="76" ht="22" customHeight="1">
      <c r="A76" s="31">
        <f>IF(COUNTA($B76:$D76,$F76:$AM76)&gt;0,MAX($A$4:A75)+1,"")</f>
        <v/>
      </c>
      <c r="B76" s="32" t="n"/>
      <c r="C76" s="33" t="n"/>
      <c r="D76" s="32" t="n"/>
      <c r="E76" s="34">
        <f>IF(OR($L76="",$N76="",TRIM($Y76)=""),"","800797-011-"&amp;TEXT($L76,"0")&amp;"-"&amp;TEXT($N76,"0")&amp;"-"&amp;TRIM($Y76))</f>
        <v/>
      </c>
      <c r="F76" s="35" t="n"/>
      <c r="G76" s="36" t="n"/>
      <c r="H76" s="33" t="n"/>
      <c r="I76" s="37" t="n"/>
      <c r="J76" s="33" t="n"/>
      <c r="K76" s="32" t="n"/>
      <c r="L76" s="38" t="n"/>
      <c r="M76" s="38" t="n"/>
      <c r="N76" s="38" t="n"/>
      <c r="O76" s="39" t="n"/>
      <c r="P76" s="33" t="n"/>
      <c r="Q76" s="32" t="n"/>
      <c r="R76" s="36" t="n"/>
      <c r="S76" s="37" t="n"/>
      <c r="T76" s="33" t="n"/>
      <c r="U76" s="33" t="n"/>
      <c r="V76" s="33" t="n"/>
      <c r="W76" s="40" t="n"/>
      <c r="X76" s="32" t="n"/>
      <c r="Y76" s="32" t="n"/>
      <c r="Z76" s="32" t="n"/>
      <c r="AA76" s="32" t="n"/>
      <c r="AB76" s="32" t="n"/>
      <c r="AC76" s="38" t="n"/>
      <c r="AD76" s="41" t="n"/>
      <c r="AE76" s="42" t="n"/>
      <c r="AF76" s="42" t="n"/>
      <c r="AG76" s="40" t="n"/>
      <c r="AH76" s="38" t="n"/>
      <c r="AI76" s="32" t="n"/>
      <c r="AJ76" s="32" t="n"/>
      <c r="AK76" s="32" t="n"/>
      <c r="AL76" s="43" t="n"/>
      <c r="AM76" s="44" t="n"/>
    </row>
    <row r="77" ht="22" customHeight="1">
      <c r="A77" s="17">
        <f>IF(COUNTA($B77:$D77,$F77:$AM77)&gt;0,MAX($A$4:A76)+1,"")</f>
        <v/>
      </c>
      <c r="B77" s="18" t="n"/>
      <c r="C77" s="19" t="n"/>
      <c r="D77" s="18" t="n"/>
      <c r="E77" s="20">
        <f>IF(OR($L77="",$N77="",TRIM($Y77)=""),"","800797-011-"&amp;TEXT($L77,"0")&amp;"-"&amp;TEXT($N77,"0")&amp;"-"&amp;TRIM($Y77))</f>
        <v/>
      </c>
      <c r="F77" s="21" t="n"/>
      <c r="G77" s="22" t="n"/>
      <c r="H77" s="19" t="n"/>
      <c r="I77" s="23" t="n"/>
      <c r="J77" s="19" t="n"/>
      <c r="K77" s="18" t="n"/>
      <c r="L77" s="24" t="n"/>
      <c r="M77" s="24" t="n"/>
      <c r="N77" s="24" t="n"/>
      <c r="O77" s="25" t="n"/>
      <c r="P77" s="19" t="n"/>
      <c r="Q77" s="18" t="n"/>
      <c r="R77" s="22" t="n"/>
      <c r="S77" s="23" t="n"/>
      <c r="T77" s="19" t="n"/>
      <c r="U77" s="19" t="n"/>
      <c r="V77" s="19" t="n"/>
      <c r="W77" s="26" t="n"/>
      <c r="X77" s="18" t="n"/>
      <c r="Y77" s="18" t="n"/>
      <c r="Z77" s="18" t="n"/>
      <c r="AA77" s="18" t="n"/>
      <c r="AB77" s="18" t="n"/>
      <c r="AC77" s="24" t="n"/>
      <c r="AD77" s="27" t="n"/>
      <c r="AE77" s="28" t="n"/>
      <c r="AF77" s="28" t="n"/>
      <c r="AG77" s="26" t="n"/>
      <c r="AH77" s="24" t="n"/>
      <c r="AI77" s="18" t="n"/>
      <c r="AJ77" s="18" t="n"/>
      <c r="AK77" s="18" t="n"/>
      <c r="AL77" s="29" t="n"/>
      <c r="AM77" s="30" t="n"/>
    </row>
    <row r="78" ht="22" customHeight="1">
      <c r="A78" s="31">
        <f>IF(COUNTA($B78:$D78,$F78:$AM78)&gt;0,MAX($A$4:A77)+1,"")</f>
        <v/>
      </c>
      <c r="B78" s="32" t="n"/>
      <c r="C78" s="33" t="n"/>
      <c r="D78" s="32" t="n"/>
      <c r="E78" s="34">
        <f>IF(OR($L78="",$N78="",TRIM($Y78)=""),"","800797-011-"&amp;TEXT($L78,"0")&amp;"-"&amp;TEXT($N78,"0")&amp;"-"&amp;TRIM($Y78))</f>
        <v/>
      </c>
      <c r="F78" s="35" t="n"/>
      <c r="G78" s="36" t="n"/>
      <c r="H78" s="33" t="n"/>
      <c r="I78" s="37" t="n"/>
      <c r="J78" s="33" t="n"/>
      <c r="K78" s="32" t="n"/>
      <c r="L78" s="38" t="n"/>
      <c r="M78" s="38" t="n"/>
      <c r="N78" s="38" t="n"/>
      <c r="O78" s="39" t="n"/>
      <c r="P78" s="33" t="n"/>
      <c r="Q78" s="32" t="n"/>
      <c r="R78" s="36" t="n"/>
      <c r="S78" s="37" t="n"/>
      <c r="T78" s="33" t="n"/>
      <c r="U78" s="33" t="n"/>
      <c r="V78" s="33" t="n"/>
      <c r="W78" s="40" t="n"/>
      <c r="X78" s="32" t="n"/>
      <c r="Y78" s="32" t="n"/>
      <c r="Z78" s="32" t="n"/>
      <c r="AA78" s="32" t="n"/>
      <c r="AB78" s="32" t="n"/>
      <c r="AC78" s="38" t="n"/>
      <c r="AD78" s="41" t="n"/>
      <c r="AE78" s="42" t="n"/>
      <c r="AF78" s="42" t="n"/>
      <c r="AG78" s="40" t="n"/>
      <c r="AH78" s="38" t="n"/>
      <c r="AI78" s="32" t="n"/>
      <c r="AJ78" s="32" t="n"/>
      <c r="AK78" s="32" t="n"/>
      <c r="AL78" s="43" t="n"/>
      <c r="AM78" s="44" t="n"/>
    </row>
    <row r="79" ht="22" customHeight="1">
      <c r="A79" s="17">
        <f>IF(COUNTA($B79:$D79,$F79:$AM79)&gt;0,MAX($A$4:A78)+1,"")</f>
        <v/>
      </c>
      <c r="B79" s="18" t="n"/>
      <c r="C79" s="19" t="n"/>
      <c r="D79" s="18" t="n"/>
      <c r="E79" s="20">
        <f>IF(OR($L79="",$N79="",TRIM($Y79)=""),"","800797-011-"&amp;TEXT($L79,"0")&amp;"-"&amp;TEXT($N79,"0")&amp;"-"&amp;TRIM($Y79))</f>
        <v/>
      </c>
      <c r="F79" s="21" t="n"/>
      <c r="G79" s="22" t="n"/>
      <c r="H79" s="19" t="n"/>
      <c r="I79" s="23" t="n"/>
      <c r="J79" s="19" t="n"/>
      <c r="K79" s="18" t="n"/>
      <c r="L79" s="24" t="n"/>
      <c r="M79" s="24" t="n"/>
      <c r="N79" s="24" t="n"/>
      <c r="O79" s="25" t="n"/>
      <c r="P79" s="19" t="n"/>
      <c r="Q79" s="18" t="n"/>
      <c r="R79" s="22" t="n"/>
      <c r="S79" s="23" t="n"/>
      <c r="T79" s="19" t="n"/>
      <c r="U79" s="19" t="n"/>
      <c r="V79" s="19" t="n"/>
      <c r="W79" s="26" t="n"/>
      <c r="X79" s="18" t="n"/>
      <c r="Y79" s="18" t="n"/>
      <c r="Z79" s="18" t="n"/>
      <c r="AA79" s="18" t="n"/>
      <c r="AB79" s="18" t="n"/>
      <c r="AC79" s="24" t="n"/>
      <c r="AD79" s="27" t="n"/>
      <c r="AE79" s="28" t="n"/>
      <c r="AF79" s="28" t="n"/>
      <c r="AG79" s="26" t="n"/>
      <c r="AH79" s="24" t="n"/>
      <c r="AI79" s="18" t="n"/>
      <c r="AJ79" s="18" t="n"/>
      <c r="AK79" s="18" t="n"/>
      <c r="AL79" s="29" t="n"/>
      <c r="AM79" s="30" t="n"/>
    </row>
    <row r="80" ht="22" customHeight="1">
      <c r="A80" s="31">
        <f>IF(COUNTA($B80:$D80,$F80:$AM80)&gt;0,MAX($A$4:A79)+1,"")</f>
        <v/>
      </c>
      <c r="B80" s="32" t="n"/>
      <c r="C80" s="33" t="n"/>
      <c r="D80" s="32" t="n"/>
      <c r="E80" s="34">
        <f>IF(OR($L80="",$N80="",TRIM($Y80)=""),"","800797-011-"&amp;TEXT($L80,"0")&amp;"-"&amp;TEXT($N80,"0")&amp;"-"&amp;TRIM($Y80))</f>
        <v/>
      </c>
      <c r="F80" s="35" t="n"/>
      <c r="G80" s="36" t="n"/>
      <c r="H80" s="33" t="n"/>
      <c r="I80" s="37" t="n"/>
      <c r="J80" s="33" t="n"/>
      <c r="K80" s="32" t="n"/>
      <c r="L80" s="38" t="n"/>
      <c r="M80" s="38" t="n"/>
      <c r="N80" s="38" t="n"/>
      <c r="O80" s="39" t="n"/>
      <c r="P80" s="33" t="n"/>
      <c r="Q80" s="32" t="n"/>
      <c r="R80" s="36" t="n"/>
      <c r="S80" s="37" t="n"/>
      <c r="T80" s="33" t="n"/>
      <c r="U80" s="33" t="n"/>
      <c r="V80" s="33" t="n"/>
      <c r="W80" s="40" t="n"/>
      <c r="X80" s="32" t="n"/>
      <c r="Y80" s="32" t="n"/>
      <c r="Z80" s="32" t="n"/>
      <c r="AA80" s="32" t="n"/>
      <c r="AB80" s="32" t="n"/>
      <c r="AC80" s="38" t="n"/>
      <c r="AD80" s="41" t="n"/>
      <c r="AE80" s="42" t="n"/>
      <c r="AF80" s="42" t="n"/>
      <c r="AG80" s="40" t="n"/>
      <c r="AH80" s="38" t="n"/>
      <c r="AI80" s="32" t="n"/>
      <c r="AJ80" s="32" t="n"/>
      <c r="AK80" s="32" t="n"/>
      <c r="AL80" s="43" t="n"/>
      <c r="AM80" s="44" t="n"/>
    </row>
    <row r="81" ht="22" customHeight="1">
      <c r="A81" s="17">
        <f>IF(COUNTA($B81:$D81,$F81:$AM81)&gt;0,MAX($A$4:A80)+1,"")</f>
        <v/>
      </c>
      <c r="B81" s="18" t="n"/>
      <c r="C81" s="19" t="n"/>
      <c r="D81" s="18" t="n"/>
      <c r="E81" s="20">
        <f>IF(OR($L81="",$N81="",TRIM($Y81)=""),"","800797-011-"&amp;TEXT($L81,"0")&amp;"-"&amp;TEXT($N81,"0")&amp;"-"&amp;TRIM($Y81))</f>
        <v/>
      </c>
      <c r="F81" s="21" t="n"/>
      <c r="G81" s="22" t="n"/>
      <c r="H81" s="19" t="n"/>
      <c r="I81" s="23" t="n"/>
      <c r="J81" s="19" t="n"/>
      <c r="K81" s="18" t="n"/>
      <c r="L81" s="24" t="n"/>
      <c r="M81" s="24" t="n"/>
      <c r="N81" s="24" t="n"/>
      <c r="O81" s="25" t="n"/>
      <c r="P81" s="19" t="n"/>
      <c r="Q81" s="18" t="n"/>
      <c r="R81" s="22" t="n"/>
      <c r="S81" s="23" t="n"/>
      <c r="T81" s="19" t="n"/>
      <c r="U81" s="19" t="n"/>
      <c r="V81" s="19" t="n"/>
      <c r="W81" s="26" t="n"/>
      <c r="X81" s="18" t="n"/>
      <c r="Y81" s="18" t="n"/>
      <c r="Z81" s="18" t="n"/>
      <c r="AA81" s="18" t="n"/>
      <c r="AB81" s="18" t="n"/>
      <c r="AC81" s="24" t="n"/>
      <c r="AD81" s="27" t="n"/>
      <c r="AE81" s="28" t="n"/>
      <c r="AF81" s="28" t="n"/>
      <c r="AG81" s="26" t="n"/>
      <c r="AH81" s="24" t="n"/>
      <c r="AI81" s="18" t="n"/>
      <c r="AJ81" s="18" t="n"/>
      <c r="AK81" s="18" t="n"/>
      <c r="AL81" s="29" t="n"/>
      <c r="AM81" s="30" t="n"/>
    </row>
    <row r="82" ht="22" customHeight="1">
      <c r="A82" s="31">
        <f>IF(COUNTA($B82:$D82,$F82:$AM82)&gt;0,MAX($A$4:A81)+1,"")</f>
        <v/>
      </c>
      <c r="B82" s="32" t="n"/>
      <c r="C82" s="33" t="n"/>
      <c r="D82" s="32" t="n"/>
      <c r="E82" s="34">
        <f>IF(OR($L82="",$N82="",TRIM($Y82)=""),"","800797-011-"&amp;TEXT($L82,"0")&amp;"-"&amp;TEXT($N82,"0")&amp;"-"&amp;TRIM($Y82))</f>
        <v/>
      </c>
      <c r="F82" s="35" t="n"/>
      <c r="G82" s="36" t="n"/>
      <c r="H82" s="33" t="n"/>
      <c r="I82" s="37" t="n"/>
      <c r="J82" s="33" t="n"/>
      <c r="K82" s="32" t="n"/>
      <c r="L82" s="38" t="n"/>
      <c r="M82" s="38" t="n"/>
      <c r="N82" s="38" t="n"/>
      <c r="O82" s="39" t="n"/>
      <c r="P82" s="33" t="n"/>
      <c r="Q82" s="32" t="n"/>
      <c r="R82" s="36" t="n"/>
      <c r="S82" s="37" t="n"/>
      <c r="T82" s="33" t="n"/>
      <c r="U82" s="33" t="n"/>
      <c r="V82" s="33" t="n"/>
      <c r="W82" s="40" t="n"/>
      <c r="X82" s="32" t="n"/>
      <c r="Y82" s="32" t="n"/>
      <c r="Z82" s="32" t="n"/>
      <c r="AA82" s="32" t="n"/>
      <c r="AB82" s="32" t="n"/>
      <c r="AC82" s="38" t="n"/>
      <c r="AD82" s="41" t="n"/>
      <c r="AE82" s="42" t="n"/>
      <c r="AF82" s="42" t="n"/>
      <c r="AG82" s="40" t="n"/>
      <c r="AH82" s="38" t="n"/>
      <c r="AI82" s="32" t="n"/>
      <c r="AJ82" s="32" t="n"/>
      <c r="AK82" s="32" t="n"/>
      <c r="AL82" s="43" t="n"/>
      <c r="AM82" s="44" t="n"/>
    </row>
    <row r="83" ht="22" customHeight="1">
      <c r="A83" s="17">
        <f>IF(COUNTA($B83:$D83,$F83:$AM83)&gt;0,MAX($A$4:A82)+1,"")</f>
        <v/>
      </c>
      <c r="B83" s="18" t="n"/>
      <c r="C83" s="19" t="n"/>
      <c r="D83" s="18" t="n"/>
      <c r="E83" s="20">
        <f>IF(OR($L83="",$N83="",TRIM($Y83)=""),"","800797-011-"&amp;TEXT($L83,"0")&amp;"-"&amp;TEXT($N83,"0")&amp;"-"&amp;TRIM($Y83))</f>
        <v/>
      </c>
      <c r="F83" s="21" t="n"/>
      <c r="G83" s="22" t="n"/>
      <c r="H83" s="19" t="n"/>
      <c r="I83" s="23" t="n"/>
      <c r="J83" s="19" t="n"/>
      <c r="K83" s="18" t="n"/>
      <c r="L83" s="24" t="n"/>
      <c r="M83" s="24" t="n"/>
      <c r="N83" s="24" t="n"/>
      <c r="O83" s="25" t="n"/>
      <c r="P83" s="19" t="n"/>
      <c r="Q83" s="18" t="n"/>
      <c r="R83" s="22" t="n"/>
      <c r="S83" s="23" t="n"/>
      <c r="T83" s="19" t="n"/>
      <c r="U83" s="19" t="n"/>
      <c r="V83" s="19" t="n"/>
      <c r="W83" s="26" t="n"/>
      <c r="X83" s="18" t="n"/>
      <c r="Y83" s="18" t="n"/>
      <c r="Z83" s="18" t="n"/>
      <c r="AA83" s="18" t="n"/>
      <c r="AB83" s="18" t="n"/>
      <c r="AC83" s="24" t="n"/>
      <c r="AD83" s="27" t="n"/>
      <c r="AE83" s="28" t="n"/>
      <c r="AF83" s="28" t="n"/>
      <c r="AG83" s="26" t="n"/>
      <c r="AH83" s="24" t="n"/>
      <c r="AI83" s="18" t="n"/>
      <c r="AJ83" s="18" t="n"/>
      <c r="AK83" s="18" t="n"/>
      <c r="AL83" s="29" t="n"/>
      <c r="AM83" s="30" t="n"/>
    </row>
    <row r="84" ht="22" customHeight="1">
      <c r="A84" s="31">
        <f>IF(COUNTA($B84:$D84,$F84:$AM84)&gt;0,MAX($A$4:A83)+1,"")</f>
        <v/>
      </c>
      <c r="B84" s="32" t="n"/>
      <c r="C84" s="33" t="n"/>
      <c r="D84" s="32" t="n"/>
      <c r="E84" s="34">
        <f>IF(OR($L84="",$N84="",TRIM($Y84)=""),"","800797-011-"&amp;TEXT($L84,"0")&amp;"-"&amp;TEXT($N84,"0")&amp;"-"&amp;TRIM($Y84))</f>
        <v/>
      </c>
      <c r="F84" s="35" t="n"/>
      <c r="G84" s="36" t="n"/>
      <c r="H84" s="33" t="n"/>
      <c r="I84" s="37" t="n"/>
      <c r="J84" s="33" t="n"/>
      <c r="K84" s="32" t="n"/>
      <c r="L84" s="38" t="n"/>
      <c r="M84" s="38" t="n"/>
      <c r="N84" s="38" t="n"/>
      <c r="O84" s="39" t="n"/>
      <c r="P84" s="33" t="n"/>
      <c r="Q84" s="32" t="n"/>
      <c r="R84" s="36" t="n"/>
      <c r="S84" s="37" t="n"/>
      <c r="T84" s="33" t="n"/>
      <c r="U84" s="33" t="n"/>
      <c r="V84" s="33" t="n"/>
      <c r="W84" s="40" t="n"/>
      <c r="X84" s="32" t="n"/>
      <c r="Y84" s="32" t="n"/>
      <c r="Z84" s="32" t="n"/>
      <c r="AA84" s="32" t="n"/>
      <c r="AB84" s="32" t="n"/>
      <c r="AC84" s="38" t="n"/>
      <c r="AD84" s="41" t="n"/>
      <c r="AE84" s="42" t="n"/>
      <c r="AF84" s="42" t="n"/>
      <c r="AG84" s="40" t="n"/>
      <c r="AH84" s="38" t="n"/>
      <c r="AI84" s="32" t="n"/>
      <c r="AJ84" s="32" t="n"/>
      <c r="AK84" s="32" t="n"/>
      <c r="AL84" s="43" t="n"/>
      <c r="AM84" s="44" t="n"/>
    </row>
  </sheetData>
  <sheetProtection selectLockedCells="1" selectUnlockedCells="1" sheet="1" objects="0" insertRows="1" insertHyperlinks="1" autoFilter="1" scenarios="0" formatColumns="1" deleteColumns="0" insertColumns="0" pivotTables="1" deleteRows="0" formatCells="1" formatRows="1" sort="1"/>
  <autoFilter ref="A4:AM84"/>
  <mergeCells count="9">
    <mergeCell ref="G3:Q3"/>
    <mergeCell ref="W3:AC3"/>
    <mergeCell ref="A1:AM1"/>
    <mergeCell ref="AG3:AK3"/>
    <mergeCell ref="AL3:AM3"/>
    <mergeCell ref="A3:F3"/>
    <mergeCell ref="R3:V3"/>
    <mergeCell ref="AD3:AF3"/>
    <mergeCell ref="A2:AM2"/>
  </mergeCells>
  <conditionalFormatting sqref="A5:AM84">
    <cfRule type="expression" priority="1" dxfId="3">
      <formula>$B5="Completed"</formula>
    </cfRule>
    <cfRule type="expression" priority="3" dxfId="4">
      <formula>$B5="Draft"</formula>
    </cfRule>
    <cfRule type="expression" priority="5" dxfId="5">
      <formula>$B5="Submitted"</formula>
    </cfRule>
    <cfRule type="expression" priority="7" dxfId="6">
      <formula>$B5="Approved"</formula>
    </cfRule>
  </conditionalFormatting>
  <conditionalFormatting sqref="B5:B84">
    <cfRule type="expression" priority="2" dxfId="7">
      <formula>$B5="Completed"</formula>
    </cfRule>
    <cfRule type="expression" priority="4" dxfId="8">
      <formula>$B5="Draft"</formula>
    </cfRule>
    <cfRule type="expression" priority="6" dxfId="9">
      <formula>$B5="Submitted"</formula>
    </cfRule>
    <cfRule type="expression" priority="8" dxfId="10">
      <formula>$B5="Approved"</formula>
    </cfRule>
  </conditionalFormatting>
  <dataValidations count="31">
    <dataValidation sqref="B5:B84" showDropDown="0" showInputMessage="1" showErrorMessage="1" allowBlank="1" errorTitle="Invalid value" error="Select a value from the Status list." promptTitle="Status" prompt="Select the current survey workflow status." type="list" errorStyle="stop">
      <formula1>StatusOptions</formula1>
    </dataValidation>
    <dataValidation sqref="D5:D84" showDropDown="0" showInputMessage="1" showErrorMessage="1" allowBlank="1" errorTitle="Invalid value" error="Select a value from the AssessmentYear list." promptTitle="Assessment Year" prompt="Select the financial assessment year." type="list" errorStyle="stop">
      <formula1>AssessmentYearOptions</formula1>
    </dataValidation>
    <dataValidation sqref="K5:K84" showDropDown="0" showInputMessage="1" showErrorMessage="1" allowBlank="1" errorTitle="Invalid value" error="Select a value from the Slum list." promptTitle="Is Slum" prompt="Select yes if the property is in a notified slum." type="list" errorStyle="stop">
      <formula1>SlumOptions</formula1>
    </dataValidation>
    <dataValidation sqref="Q5:Q84" showDropDown="0" showInputMessage="1" showErrorMessage="1" allowBlank="1" errorTitle="Invalid value" error="Select a value from the Relationship list." promptTitle="Respondent Relationship" prompt="Select the respondent's relationship to the owner." type="list" errorStyle="stop">
      <formula1>RelationshipOptions</formula1>
    </dataValidation>
    <dataValidation sqref="W5:W84" showDropDown="0" showInputMessage="1" showErrorMessage="1" allowBlank="1" errorTitle="Invalid value" error="Select a value from the TaxRateZone list." promptTitle="Tax Rate Zone" prompt="Select the applicable municipal tax rate zone." type="list" errorStyle="stop">
      <formula1>TaxRateZoneOptions</formula1>
    </dataValidation>
    <dataValidation sqref="X5:X84" showDropDown="0" showInputMessage="1" showErrorMessage="1" allowBlank="1" errorTitle="Invalid value" error="Select a value from the Ownership list." promptTitle="Property Ownership" prompt="Select the legal ownership category." type="list" errorStyle="stop">
      <formula1>OwnershipOptions</formula1>
    </dataValidation>
    <dataValidation sqref="Y5:Y84" showDropDown="0" showInputMessage="1" showErrorMessage="1" allowBlank="1" errorTitle="Invalid value" error="Select a value from the PropertyType list." promptTitle="Property Type" prompt="Select the applicable property classification." type="list" errorStyle="stop">
      <formula1>PropertyTypeOptions</formula1>
    </dataValidation>
    <dataValidation sqref="Z5:Z84" showDropDown="0" showInputMessage="1" showErrorMessage="1" allowBlank="1" errorTitle="Invalid value" error="Select a value from the PropertyUse list." promptTitle="Property Uses" prompt="Select the actual current use of the property." type="list" errorStyle="stop">
      <formula1>PropertyUseOptions</formula1>
    </dataValidation>
    <dataValidation sqref="AA5:AA84" showDropDown="0" showInputMessage="1" showErrorMessage="1" allowBlank="1" errorTitle="Invalid value" error="Select a value from the Situation list." promptTitle="Situation" prompt="Select a valid value." type="list" errorStyle="stop">
      <formula1>SituationOptions</formula1>
    </dataValidation>
    <dataValidation sqref="AB5:AB84" showDropDown="0" showInputMessage="1" showErrorMessage="1" allowBlank="1" errorTitle="Invalid value" error="Select a value from the RoadType list." promptTitle="Road Type" prompt="Select a valid value." type="list" errorStyle="stop">
      <formula1>RoadTypeOptions</formula1>
    </dataValidation>
    <dataValidation sqref="AG5:AG84" showDropDown="0" showInputMessage="1" showErrorMessage="1" allowBlank="1" errorTitle="Invalid value" error="Select a value from the WaterSupply list." promptTitle="Municipal Water" prompt="Select whether the property has municipal water supply." type="list" errorStyle="stop">
      <formula1>WaterSupplyOptions</formula1>
    </dataValidation>
    <dataValidation sqref="AI5:AI84" showDropDown="0" showInputMessage="1" showErrorMessage="1" allowBlank="1" errorTitle="Invalid value" error="Select a value from the WaterConnectionType list." promptTitle="Water Connection Type" prompt="Select the water-connection or sanitation source type." type="list" errorStyle="stop">
      <formula1>WaterConnectionTypeOptions</formula1>
    </dataValidation>
    <dataValidation sqref="AJ5:AJ84" showDropDown="0" showInputMessage="1" showErrorMessage="1" allowBlank="1" errorTitle="Invalid value" error="Select a value from the ToiletType list." promptTitle="Toilet Type" prompt="Select the sanitation / toilet arrangement." type="list" errorStyle="stop">
      <formula1>ToiletTypeOptions</formula1>
    </dataValidation>
    <dataValidation sqref="AK5:AK84" showDropDown="0" showInputMessage="1" showErrorMessage="1" allowBlank="1" errorTitle="Invalid value" error="Select a value from the WasteService list." promptTitle="Waste Service" prompt="Select whether municipal waste collection is available." type="list" errorStyle="stop">
      <formula1>WasteServiceOptions</formula1>
    </dataValidation>
    <dataValidation sqref="A5:A84" showDropDown="0" showInputMessage="1" showErrorMessage="0" allowBlank="1" promptTitle="SN" prompt="Auto-generated serial number. Do not edit." type="custom">
      <formula1>TRUE</formula1>
    </dataValidation>
    <dataValidation sqref="E5:E84" showDropDown="0" showInputMessage="1" showErrorMessage="0" allowBlank="1" promptTitle="Property Id" prompt="Automatically generated from Parcel No, old property Number and Property Type." type="custom">
      <formula1>TRUE</formula1>
    </dataValidation>
    <dataValidation sqref="C5:C84" showDropDown="0" showInputMessage="1" showErrorMessage="0" allowBlank="1" promptTitle="Surveyor Name" prompt="Enter the name of the surveyor." type="custom">
      <formula1>TRUE</formula1>
    </dataValidation>
    <dataValidation sqref="I5:I84" showDropDown="0" showInputMessage="1" showErrorMessage="1" allowBlank="1" errorTitle="Invalid mobile number" error="Enter a valid 10-digit mobile number." promptTitle="Mobile No" prompt="Enter exactly 10 digits." type="custom" errorStyle="stop">
      <formula1>AND(LEN(TRIM(I5))=10,ISNUMBER(--I5),INT(--I5)=--I5)</formula1>
    </dataValidation>
    <dataValidation sqref="S5:S84" showDropDown="0" showInputMessage="1" showErrorMessage="1" allowBlank="1" errorTitle="Invalid pincode" error="Enter a valid 6-digit pincode." promptTitle="Pincode" prompt="Enter exactly 6 digits." type="custom" errorStyle="stop">
      <formula1>AND(LEN(TRIM(S5))=6,ISNUMBER(--S5),INT(--S5)=--S5)</formula1>
    </dataValidation>
    <dataValidation sqref="L5:L84" showDropDown="0" showInputMessage="1" showErrorMessage="1" allowBlank="1" errorTitle="Invalid Parcel No" error="Parcel No must be a number (0 or greater)." promptTitle="Parcel No" prompt="Enter the parcel number." type="decimal" errorStyle="stop" operator="greaterThanOrEqual">
      <formula1>0</formula1>
    </dataValidation>
    <dataValidation sqref="M5:M84" showDropDown="0" showInputMessage="1" showErrorMessage="1" allowBlank="1" errorTitle="Invalid Unit No" error="Unit No must be a number (0 or greater)." promptTitle="Unit No" prompt="Enter the unit / sub-property number." type="decimal" errorStyle="stop" operator="greaterThanOrEqual">
      <formula1>0</formula1>
    </dataValidation>
    <dataValidation sqref="N5:N84" showDropDown="0" showInputMessage="1" showErrorMessage="1" allowBlank="1" errorTitle="Invalid old property Number" error="old property Number must be a number (0 or greater)." promptTitle="old property Number" prompt="Enter the legacy municipal property number." type="decimal" errorStyle="stop" operator="greaterThanOrEqual">
      <formula1>0</formula1>
    </dataValidation>
    <dataValidation sqref="F5:F84" showDropDown="0" showInputMessage="1" showErrorMessage="1" allowBlank="1" errorTitle="Invalid date" error="Enter a valid survey date and time." promptTitle="Date of Survey" prompt="Enter the survey date and time (dd-mm-yyyy hh:mm)." type="date" errorStyle="stop" operator="greaterThanOrEqual">
      <formula1>DATE(1990,1,1)</formula1>
    </dataValidation>
    <dataValidation sqref="O5:O84" showDropDown="0" showInputMessage="1" showErrorMessage="1" allowBlank="1" errorTitle="Invalid date" error="Enter a valid constructed date." promptTitle="Constructed Date" prompt="Enter the construction date of the property." type="date" errorStyle="stop" operator="greaterThanOrEqual">
      <formula1>DATE(1900,1,1)</formula1>
    </dataValidation>
    <dataValidation sqref="AC5:AC84" showDropDown="0" showInputMessage="1" showErrorMessage="1" allowBlank="1" errorTitle="Invalid floors" error="Floors must be a whole number of 0 or more." promptTitle="Floors" prompt="Enter the number of floors as a whole number (0 or more)." type="whole" errorStyle="stop" operator="greaterThanOrEqual">
      <formula1>0</formula1>
    </dataValidation>
    <dataValidation sqref="AD5:AD84" showDropDown="0" showInputMessage="1" showErrorMessage="1" allowBlank="1" errorTitle="Invalid area" error="Area must be a number of 0 or more. Decimals are allowed." promptTitle="Plot Area SqFt" prompt="Enter plot area in square feet. Decimal values are allowed." type="decimal" errorStyle="stop" operator="greaterThanOrEqual">
      <formula1>0</formula1>
    </dataValidation>
    <dataValidation sqref="AE5:AE84" showDropDown="0" showInputMessage="1" showErrorMessage="1" allowBlank="1" errorTitle="Invalid area" error="Area must be a number of 0 or more. Decimals are allowed." promptTitle="Plinth Area SqFt" prompt="Enter plinth area in square feet. Decimal values are allowed." type="decimal" errorStyle="stop" operator="greaterThanOrEqual">
      <formula1>0</formula1>
    </dataValidation>
    <dataValidation sqref="AF5:AF84" showDropDown="0" showInputMessage="1" showErrorMessage="1" allowBlank="1" errorTitle="Invalid area" error="Area must be a number of 0 or more. Decimals are allowed." promptTitle="Total Built Up Area SqFt" prompt="Enter total built-up area in square feet." type="decimal" errorStyle="stop" operator="greaterThanOrEqual">
      <formula1>0</formula1>
    </dataValidation>
    <dataValidation sqref="AH5:AH84" showDropDown="0" showInputMessage="1" showErrorMessage="1" allowBlank="1" errorTitle="Invalid connection count" error="Total Water Connection must be a whole number of 0 or more." promptTitle="Water Connections" prompt="Enter the total number of water connections (0 or more)." type="whole" errorStyle="stop" operator="greaterThanOrEqual">
      <formula1>0</formula1>
    </dataValidation>
    <dataValidation sqref="AL5:AL84" showDropDown="0" showInputMessage="1" showErrorMessage="1" allowBlank="1" errorTitle="Invalid latitude" error="Latitude must be between -90 and 90." promptTitle="Latitude" prompt="Enter latitude in decimal degrees (-90 to 90). 6 decimal places." type="decimal" errorStyle="stop" operator="between">
      <formula1>-90</formula1>
      <formula2>90</formula2>
    </dataValidation>
    <dataValidation sqref="AM5:AM84" showDropDown="0" showInputMessage="1" showErrorMessage="1" allowBlank="1" errorTitle="Invalid longitude" error="Longitude must be between -180 and 180." promptTitle="Longitude" prompt="Enter longitude in decimal degrees (-180 to 180). 6 decimal places." type="decimal" errorStyle="stop" operator="between">
      <formula1>-180</formula1>
      <formula2>180</formula2>
    </dataValidation>
  </dataValidations>
  <pageMargins left="0.4" right="0.4" top="0.6" bottom="0.6" header="0.25" footer="0.25"/>
  <pageSetup orientation="landscape" paperSize="9" fitToHeight="0" fitToWidth="1"/>
  <headerFooter>
    <oddHeader>&amp;LMunicipal Property Tax Survey&amp;RSurvey Data</oddHeader>
    <oddFooter>&amp;LSN &amp; Property Id are formula-generated — do not overwrite&amp;RPage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tabColor rgb="00BDC3C7"/>
    <outlinePr summaryBelow="1" summaryRight="1"/>
    <pageSetUpPr/>
  </sheetPr>
  <dimension ref="A1:O18"/>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7" customWidth="1" min="6" max="6"/>
    <col width="34" customWidth="1" min="7" max="7"/>
    <col width="34" customWidth="1" min="8" max="8"/>
    <col width="18" customWidth="1" min="9" max="9"/>
    <col width="19" customWidth="1" min="10" max="10"/>
    <col width="18" customWidth="1" min="11" max="11"/>
    <col width="29" customWidth="1" min="12" max="12"/>
    <col width="29" customWidth="1" min="13" max="13"/>
    <col width="18" customWidth="1" min="14" max="14"/>
    <col width="18" customWidth="1" min="15" max="15"/>
  </cols>
  <sheetData>
    <row r="1" ht="22" customHeight="1">
      <c r="A1" s="45" t="inlineStr">
        <is>
          <t>Named ranges on this sheet drive dropdowns on Survey Data. Do not delete values.</t>
        </is>
      </c>
    </row>
    <row r="2" ht="28" customHeight="1">
      <c r="A2" s="46" t="inlineStr">
        <is>
          <t>StatusOptions</t>
        </is>
      </c>
      <c r="B2" s="46" t="inlineStr">
        <is>
          <t>AssessmentYearOptions</t>
        </is>
      </c>
      <c r="C2" s="46" t="inlineStr">
        <is>
          <t>SlumOptions</t>
        </is>
      </c>
      <c r="D2" s="46" t="inlineStr">
        <is>
          <t>RelationshipOptions</t>
        </is>
      </c>
      <c r="E2" s="46" t="inlineStr">
        <is>
          <t>TaxRateZoneOptions</t>
        </is>
      </c>
      <c r="F2" s="46" t="inlineStr">
        <is>
          <t>OwnershipOptions</t>
        </is>
      </c>
      <c r="G2" s="46" t="inlineStr">
        <is>
          <t>PropertyTypeOptions</t>
        </is>
      </c>
      <c r="H2" s="46" t="inlineStr">
        <is>
          <t>PropertyUseOptions</t>
        </is>
      </c>
      <c r="I2" s="46" t="inlineStr">
        <is>
          <t>SituationOptions</t>
        </is>
      </c>
      <c r="J2" s="46" t="inlineStr">
        <is>
          <t>RoadTypeOptions</t>
        </is>
      </c>
      <c r="K2" s="46" t="inlineStr">
        <is>
          <t>WaterSupplyOptions</t>
        </is>
      </c>
      <c r="L2" s="46" t="inlineStr">
        <is>
          <t>WaterConnectionTypeOptions</t>
        </is>
      </c>
      <c r="M2" s="46" t="inlineStr">
        <is>
          <t>ToiletTypeOptions</t>
        </is>
      </c>
      <c r="N2" s="46" t="inlineStr">
        <is>
          <t>WasteServiceOptions</t>
        </is>
      </c>
      <c r="O2" s="46" t="inlineStr">
        <is>
          <t>ActionOptions</t>
        </is>
      </c>
    </row>
    <row r="3">
      <c r="A3" s="47" t="inlineStr">
        <is>
          <t>Completed</t>
        </is>
      </c>
      <c r="B3" s="47" t="inlineStr">
        <is>
          <t>2025-2026</t>
        </is>
      </c>
      <c r="C3" s="47" t="inlineStr">
        <is>
          <t>yes</t>
        </is>
      </c>
      <c r="D3" s="47" t="inlineStr">
        <is>
          <t>Self</t>
        </is>
      </c>
      <c r="E3" s="47" t="inlineStr">
        <is>
          <t>RATE ZONE 1</t>
        </is>
      </c>
      <c r="F3" s="47" t="inlineStr">
        <is>
          <t>Individual (Single/Joint)</t>
        </is>
      </c>
      <c r="G3" s="47" t="inlineStr">
        <is>
          <t>Residential</t>
        </is>
      </c>
      <c r="H3" s="47" t="inlineStr">
        <is>
          <t>Residential Self</t>
        </is>
      </c>
      <c r="I3" s="47" t="inlineStr">
        <is>
          <t>Main Road</t>
        </is>
      </c>
      <c r="J3" s="47" t="inlineStr">
        <is>
          <t>Dambar Road</t>
        </is>
      </c>
      <c r="K3" s="47" t="inlineStr">
        <is>
          <t>yes</t>
        </is>
      </c>
      <c r="L3" s="47" t="inlineStr">
        <is>
          <t>null</t>
        </is>
      </c>
      <c r="M3" s="47" t="inlineStr">
        <is>
          <t>No Toilet</t>
        </is>
      </c>
      <c r="N3" s="47" t="inlineStr">
        <is>
          <t>yes</t>
        </is>
      </c>
      <c r="O3" s="47" t="inlineStr">
        <is>
          <t>Demand Notice</t>
        </is>
      </c>
    </row>
    <row r="4">
      <c r="A4" s="47" t="inlineStr">
        <is>
          <t>Draft</t>
        </is>
      </c>
      <c r="B4" s="47" t="inlineStr">
        <is>
          <t>2026-2027</t>
        </is>
      </c>
      <c r="C4" s="47" t="inlineStr">
        <is>
          <t>no</t>
        </is>
      </c>
      <c r="D4" s="47" t="inlineStr">
        <is>
          <t>Son</t>
        </is>
      </c>
      <c r="E4" s="47" t="inlineStr">
        <is>
          <t>RATE ZONE 2</t>
        </is>
      </c>
      <c r="F4" s="47" t="inlineStr">
        <is>
          <t>Limited Company</t>
        </is>
      </c>
      <c r="G4" s="47" t="inlineStr">
        <is>
          <t>Commercial</t>
        </is>
      </c>
      <c r="H4" s="47" t="inlineStr">
        <is>
          <t>Residential Rented</t>
        </is>
      </c>
      <c r="I4" s="47" t="inlineStr">
        <is>
          <t>Main Market</t>
        </is>
      </c>
      <c r="J4" s="47" t="inlineStr">
        <is>
          <t>Kachcha Road</t>
        </is>
      </c>
      <c r="K4" s="47" t="inlineStr">
        <is>
          <t>no</t>
        </is>
      </c>
      <c r="L4" s="47" t="inlineStr">
        <is>
          <t>Government Tap</t>
        </is>
      </c>
      <c r="M4" s="47" t="inlineStr">
        <is>
          <t>Connected to Specific Tank</t>
        </is>
      </c>
      <c r="N4" s="47" t="inlineStr">
        <is>
          <t>no</t>
        </is>
      </c>
      <c r="O4" s="47" t="inlineStr">
        <is>
          <t>Print</t>
        </is>
      </c>
    </row>
    <row r="5">
      <c r="A5" s="47" t="inlineStr">
        <is>
          <t>Submitted</t>
        </is>
      </c>
      <c r="B5" s="47" t="inlineStr">
        <is>
          <t>2024-2025</t>
        </is>
      </c>
      <c r="D5" s="47" t="inlineStr">
        <is>
          <t>Daughter</t>
        </is>
      </c>
      <c r="E5" s="47" t="inlineStr">
        <is>
          <t>RATE ZONE 3</t>
        </is>
      </c>
      <c r="F5" s="47" t="inlineStr">
        <is>
          <t>Trust Society</t>
        </is>
      </c>
      <c r="G5" s="47" t="inlineStr">
        <is>
          <t>Open Land</t>
        </is>
      </c>
      <c r="H5" s="47" t="inlineStr">
        <is>
          <t>Open Land</t>
        </is>
      </c>
      <c r="I5" s="47" t="inlineStr">
        <is>
          <t>Interior</t>
        </is>
      </c>
      <c r="J5" s="47" t="inlineStr">
        <is>
          <t>RCC Road</t>
        </is>
      </c>
      <c r="L5" s="47" t="inlineStr">
        <is>
          <t>Borewell</t>
        </is>
      </c>
      <c r="M5" s="47" t="inlineStr">
        <is>
          <t>Connected to Surface Drains</t>
        </is>
      </c>
      <c r="O5" s="47" t="inlineStr">
        <is>
          <t>View</t>
        </is>
      </c>
    </row>
    <row r="6">
      <c r="A6" s="47" t="inlineStr">
        <is>
          <t>Approved</t>
        </is>
      </c>
      <c r="D6" s="47" t="inlineStr">
        <is>
          <t>Wife</t>
        </is>
      </c>
      <c r="E6" s="47" t="inlineStr">
        <is>
          <t>RATE ZONE 4</t>
        </is>
      </c>
      <c r="F6" s="47" t="inlineStr">
        <is>
          <t>Religious Body</t>
        </is>
      </c>
      <c r="G6" s="47" t="inlineStr">
        <is>
          <t>Mix</t>
        </is>
      </c>
      <c r="H6" s="47" t="inlineStr">
        <is>
          <t>Agriculture</t>
        </is>
      </c>
      <c r="I6" s="47" t="inlineStr">
        <is>
          <t>Slum</t>
        </is>
      </c>
      <c r="J6" s="47" t="inlineStr">
        <is>
          <t>Interlocking Road</t>
        </is>
      </c>
      <c r="L6" s="47" t="inlineStr">
        <is>
          <t>Dug well</t>
        </is>
      </c>
      <c r="M6" s="47" t="inlineStr">
        <is>
          <t>Dry/Bucket Latrine</t>
        </is>
      </c>
      <c r="O6" s="47" t="inlineStr">
        <is>
          <t>Edit</t>
        </is>
      </c>
    </row>
    <row r="7">
      <c r="D7" s="47" t="inlineStr">
        <is>
          <t>Husband</t>
        </is>
      </c>
      <c r="F7" s="47" t="inlineStr">
        <is>
          <t>Joint</t>
        </is>
      </c>
      <c r="G7" s="47" t="inlineStr">
        <is>
          <t>Mandir</t>
        </is>
      </c>
      <c r="H7" s="47" t="inlineStr">
        <is>
          <t>Shops/Banks</t>
        </is>
      </c>
      <c r="J7" s="47" t="inlineStr">
        <is>
          <t>Rcc</t>
        </is>
      </c>
      <c r="L7" s="47" t="inlineStr">
        <is>
          <t>Other</t>
        </is>
      </c>
      <c r="M7" s="47" t="inlineStr">
        <is>
          <t>Pour-flush pit latrine</t>
        </is>
      </c>
      <c r="O7" s="47" t="inlineStr">
        <is>
          <t>Delete</t>
        </is>
      </c>
    </row>
    <row r="8">
      <c r="D8" s="47" t="inlineStr">
        <is>
          <t>Mother</t>
        </is>
      </c>
      <c r="G8" s="47" t="inlineStr">
        <is>
          <t>School College</t>
        </is>
      </c>
      <c r="H8" s="47" t="inlineStr">
        <is>
          <t>Industrial/Factory</t>
        </is>
      </c>
      <c r="J8" s="47" t="inlineStr">
        <is>
          <t>Kaccha</t>
        </is>
      </c>
      <c r="L8" s="47" t="inlineStr">
        <is>
          <t>Sewer System</t>
        </is>
      </c>
      <c r="M8" s="47" t="inlineStr">
        <is>
          <t>Other</t>
        </is>
      </c>
    </row>
    <row r="9">
      <c r="D9" s="47" t="inlineStr">
        <is>
          <t>Father</t>
        </is>
      </c>
      <c r="G9" s="47" t="inlineStr">
        <is>
          <t>Hospital Nursing Pathology</t>
        </is>
      </c>
      <c r="H9" s="47" t="inlineStr">
        <is>
          <t>Bakery</t>
        </is>
      </c>
      <c r="L9" s="47" t="inlineStr">
        <is>
          <t>Septic Tank</t>
        </is>
      </c>
      <c r="M9" s="47" t="inlineStr">
        <is>
          <t>Septic Tank</t>
        </is>
      </c>
    </row>
    <row r="10">
      <c r="D10" s="47" t="inlineStr">
        <is>
          <t>Sister</t>
        </is>
      </c>
      <c r="G10" s="47" t="inlineStr">
        <is>
          <t>Mall Showroom</t>
        </is>
      </c>
      <c r="H10" s="47" t="inlineStr">
        <is>
          <t>Hotel/Restaurant/Marriage Garden</t>
        </is>
      </c>
      <c r="L10" s="47" t="inlineStr">
        <is>
          <t>Surface Drain</t>
        </is>
      </c>
      <c r="M10" s="47" t="inlineStr">
        <is>
          <t>Sewer System</t>
        </is>
      </c>
    </row>
    <row r="11">
      <c r="D11" s="47" t="inlineStr">
        <is>
          <t>Brother</t>
        </is>
      </c>
      <c r="G11" s="47" t="inlineStr">
        <is>
          <t>Shop Bakery</t>
        </is>
      </c>
      <c r="H11" s="47" t="inlineStr">
        <is>
          <t>Religious Property</t>
        </is>
      </c>
      <c r="L11" s="47" t="inlineStr">
        <is>
          <t>No Toilet</t>
        </is>
      </c>
    </row>
    <row r="12">
      <c r="D12" s="47" t="inlineStr">
        <is>
          <t>Neighbour</t>
        </is>
      </c>
      <c r="G12" s="47" t="inlineStr">
        <is>
          <t>Godown</t>
        </is>
      </c>
      <c r="H12" s="47" t="inlineStr">
        <is>
          <t>Residential/Commercial</t>
        </is>
      </c>
      <c r="L12" s="47" t="inlineStr">
        <is>
          <t>Dry/Bucket Latrine</t>
        </is>
      </c>
    </row>
    <row r="13">
      <c r="D13" s="47" t="inlineStr">
        <is>
          <t>Other</t>
        </is>
      </c>
      <c r="G13" s="47" t="inlineStr">
        <is>
          <t>Industrial/Factory</t>
        </is>
      </c>
      <c r="H13" s="47" t="inlineStr">
        <is>
          <t>Commercial</t>
        </is>
      </c>
      <c r="L13" s="47" t="inlineStr">
        <is>
          <t>Connected to Specific Tank</t>
        </is>
      </c>
    </row>
    <row r="14">
      <c r="D14" s="47" t="inlineStr">
        <is>
          <t>N/A</t>
        </is>
      </c>
      <c r="G14" s="47" t="inlineStr">
        <is>
          <t>Hotel/Restaurant/Marriage Garden</t>
        </is>
      </c>
      <c r="H14" s="47" t="inlineStr">
        <is>
          <t>Mix Property</t>
        </is>
      </c>
      <c r="L14" s="47" t="inlineStr">
        <is>
          <t>Connected to Surface Drains</t>
        </is>
      </c>
    </row>
    <row r="15">
      <c r="G15" s="47" t="inlineStr">
        <is>
          <t>Bakery</t>
        </is>
      </c>
      <c r="H15" s="47" t="inlineStr">
        <is>
          <t>Mandir</t>
        </is>
      </c>
      <c r="L15" s="47" t="inlineStr">
        <is>
          <t>Pour-flush pit latrine</t>
        </is>
      </c>
    </row>
    <row r="16">
      <c r="H16" s="47" t="inlineStr">
        <is>
          <t>Godown</t>
        </is>
      </c>
    </row>
    <row r="17">
      <c r="H17" s="47" t="inlineStr">
        <is>
          <t>School College</t>
        </is>
      </c>
    </row>
    <row r="18">
      <c r="H18" s="47" t="inlineStr">
        <is>
          <t>Hospital Nursing Pathology</t>
        </is>
      </c>
    </row>
  </sheetData>
  <sheetProtection selectLockedCells="0" selectUnlockedCells="0" sheet="1" objects="0" insertRows="1" insertHyperlinks="1" autoFilter="1" scenarios="0" formatColumns="1" deleteColumns="1" insertColumns="1" pivotTables="1" deleteRows="1" formatCells="1" formatRows="1" sort="1"/>
  <mergeCells count="1">
    <mergeCell ref="A1:O1"/>
  </mergeCells>
  <pageMargins left="0.75" right="0.75" top="1" bottom="1" header="0.5" footer="0.5"/>
</worksheet>
</file>

<file path=xl/worksheets/sheet3.xml><?xml version="1.0" encoding="utf-8"?>
<worksheet xmlns="http://schemas.openxmlformats.org/spreadsheetml/2006/main">
  <sheetPr>
    <tabColor rgb="00F59E0B"/>
    <outlinePr summaryBelow="1" summaryRight="1"/>
    <pageSetUpPr fitToPage="1"/>
  </sheetPr>
  <dimension ref="A1:G84"/>
  <sheetViews>
    <sheetView showGridLines="0" workbookViewId="0">
      <pane ySplit="3" topLeftCell="A4" activePane="bottomLeft" state="frozen"/>
      <selection pane="bottomLeft" activeCell="A1" sqref="A1"/>
    </sheetView>
  </sheetViews>
  <sheetFormatPr baseColWidth="8" defaultRowHeight="15"/>
  <cols>
    <col width="10" customWidth="1" min="1" max="1"/>
    <col width="34" customWidth="1" min="2" max="2"/>
    <col width="14" customWidth="1" min="3" max="3"/>
    <col width="16" customWidth="1" min="4" max="4"/>
    <col width="14" customWidth="1" min="5" max="5"/>
    <col width="16" customWidth="1" min="6" max="6"/>
    <col width="18" customWidth="1" min="7" max="7"/>
  </cols>
  <sheetData>
    <row r="1" ht="32" customHeight="1">
      <c r="A1" s="1" t="inlineStr">
        <is>
          <t>Survey Progress Dashboard</t>
        </is>
      </c>
    </row>
    <row r="2" ht="22" customHeight="1">
      <c r="A2" s="2" t="inlineStr">
        <is>
          <t>Completion is calculated from the 35 user-entered fields (SN and Property Id are excluded because they are formula-generated).</t>
        </is>
      </c>
    </row>
    <row r="3" ht="36" customHeight="1">
      <c r="A3" s="48">
        <f>"Populated"&amp;CHAR(10)&amp;COUNTIF('Survey Data'!A5:A84,"&gt;0")</f>
        <v/>
      </c>
      <c r="B3" s="49">
        <f>"Completed"&amp;CHAR(10)&amp;COUNTIF('Survey Data'!B5:B84,"Completed")</f>
        <v/>
      </c>
      <c r="C3" s="49">
        <f>"Draft"&amp;CHAR(10)&amp;COUNTIF('Survey Data'!B5:B84,"Draft")</f>
        <v/>
      </c>
      <c r="D3" s="49">
        <f>"Submitted"&amp;CHAR(10)&amp;COUNTIF('Survey Data'!B5:B84,"Submitted")</f>
        <v/>
      </c>
      <c r="E3" s="49">
        <f>"Approved"&amp;CHAR(10)&amp;COUNTIF('Survey Data'!B5:B84,"Approved")</f>
        <v/>
      </c>
      <c r="F3" s="48">
        <f>"Avg %"&amp;CHAR(10)&amp;TEXT(IFERROR(AVERAGEIF(F5:F84,"&gt;0"),0),"0%")</f>
        <v/>
      </c>
      <c r="G3" s="48">
        <f>"Required"&amp;CHAR(10)&amp;37</f>
        <v/>
      </c>
    </row>
    <row r="4" ht="28" customHeight="1">
      <c r="A4" s="50" t="inlineStr">
        <is>
          <t>SN</t>
        </is>
      </c>
      <c r="B4" s="50" t="inlineStr">
        <is>
          <t>Property Id</t>
        </is>
      </c>
      <c r="C4" s="50" t="inlineStr">
        <is>
          <t>Status</t>
        </is>
      </c>
      <c r="D4" s="50" t="inlineStr">
        <is>
          <t>Filled Fields</t>
        </is>
      </c>
      <c r="E4" s="50" t="inlineStr">
        <is>
          <t>Total Fields</t>
        </is>
      </c>
      <c r="F4" s="50" t="inlineStr">
        <is>
          <t>Completion %</t>
        </is>
      </c>
      <c r="G4" s="50" t="inlineStr">
        <is>
          <t>Progress</t>
        </is>
      </c>
    </row>
    <row r="5" ht="20" customHeight="1">
      <c r="A5" s="51">
        <f>IF('Survey Data'!A5="","",'Survey Data'!A5)</f>
        <v/>
      </c>
      <c r="B5" s="52">
        <f>IF('Survey Data'!A5="","",'Survey Data'!E5)</f>
        <v/>
      </c>
      <c r="C5" s="51">
        <f>IF('Survey Data'!A5="","",'Survey Data'!B5)</f>
        <v/>
      </c>
      <c r="D5" s="51">
        <f>IF('Survey Data'!A5="","",COUNTA('Survey Data'!B5:D5,'Survey Data'!F5:AM5))</f>
        <v/>
      </c>
      <c r="E5" s="51">
        <f>IF('Survey Data'!A5="","",37)</f>
        <v/>
      </c>
      <c r="F5" s="53">
        <f>IF(OR(D5="",E5=""),"",D5/E5)</f>
        <v/>
      </c>
      <c r="G5" s="53">
        <f>IF(F5="","",F5)</f>
        <v/>
      </c>
    </row>
    <row r="6" ht="20" customHeight="1">
      <c r="A6" s="54">
        <f>IF('Survey Data'!A6="","",'Survey Data'!A6)</f>
        <v/>
      </c>
      <c r="B6" s="55">
        <f>IF('Survey Data'!A6="","",'Survey Data'!E6)</f>
        <v/>
      </c>
      <c r="C6" s="54">
        <f>IF('Survey Data'!A6="","",'Survey Data'!B6)</f>
        <v/>
      </c>
      <c r="D6" s="54">
        <f>IF('Survey Data'!A6="","",COUNTA('Survey Data'!B6:D6,'Survey Data'!F6:AM6))</f>
        <v/>
      </c>
      <c r="E6" s="54">
        <f>IF('Survey Data'!A6="","",37)</f>
        <v/>
      </c>
      <c r="F6" s="56">
        <f>IF(OR(D6="",E6=""),"",D6/E6)</f>
        <v/>
      </c>
      <c r="G6" s="56">
        <f>IF(F6="","",F6)</f>
        <v/>
      </c>
    </row>
    <row r="7" ht="20" customHeight="1">
      <c r="A7" s="51">
        <f>IF('Survey Data'!A7="","",'Survey Data'!A7)</f>
        <v/>
      </c>
      <c r="B7" s="52">
        <f>IF('Survey Data'!A7="","",'Survey Data'!E7)</f>
        <v/>
      </c>
      <c r="C7" s="51">
        <f>IF('Survey Data'!A7="","",'Survey Data'!B7)</f>
        <v/>
      </c>
      <c r="D7" s="51">
        <f>IF('Survey Data'!A7="","",COUNTA('Survey Data'!B7:D7,'Survey Data'!F7:AM7))</f>
        <v/>
      </c>
      <c r="E7" s="51">
        <f>IF('Survey Data'!A7="","",37)</f>
        <v/>
      </c>
      <c r="F7" s="53">
        <f>IF(OR(D7="",E7=""),"",D7/E7)</f>
        <v/>
      </c>
      <c r="G7" s="53">
        <f>IF(F7="","",F7)</f>
        <v/>
      </c>
    </row>
    <row r="8" ht="20" customHeight="1">
      <c r="A8" s="54">
        <f>IF('Survey Data'!A8="","",'Survey Data'!A8)</f>
        <v/>
      </c>
      <c r="B8" s="55">
        <f>IF('Survey Data'!A8="","",'Survey Data'!E8)</f>
        <v/>
      </c>
      <c r="C8" s="54">
        <f>IF('Survey Data'!A8="","",'Survey Data'!B8)</f>
        <v/>
      </c>
      <c r="D8" s="54">
        <f>IF('Survey Data'!A8="","",COUNTA('Survey Data'!B8:D8,'Survey Data'!F8:AM8))</f>
        <v/>
      </c>
      <c r="E8" s="54">
        <f>IF('Survey Data'!A8="","",37)</f>
        <v/>
      </c>
      <c r="F8" s="56">
        <f>IF(OR(D8="",E8=""),"",D8/E8)</f>
        <v/>
      </c>
      <c r="G8" s="56">
        <f>IF(F8="","",F8)</f>
        <v/>
      </c>
    </row>
    <row r="9" ht="20" customHeight="1">
      <c r="A9" s="51">
        <f>IF('Survey Data'!A9="","",'Survey Data'!A9)</f>
        <v/>
      </c>
      <c r="B9" s="52">
        <f>IF('Survey Data'!A9="","",'Survey Data'!E9)</f>
        <v/>
      </c>
      <c r="C9" s="51">
        <f>IF('Survey Data'!A9="","",'Survey Data'!B9)</f>
        <v/>
      </c>
      <c r="D9" s="51">
        <f>IF('Survey Data'!A9="","",COUNTA('Survey Data'!B9:D9,'Survey Data'!F9:AM9))</f>
        <v/>
      </c>
      <c r="E9" s="51">
        <f>IF('Survey Data'!A9="","",37)</f>
        <v/>
      </c>
      <c r="F9" s="53">
        <f>IF(OR(D9="",E9=""),"",D9/E9)</f>
        <v/>
      </c>
      <c r="G9" s="53">
        <f>IF(F9="","",F9)</f>
        <v/>
      </c>
    </row>
    <row r="10" ht="20" customHeight="1">
      <c r="A10" s="54">
        <f>IF('Survey Data'!A10="","",'Survey Data'!A10)</f>
        <v/>
      </c>
      <c r="B10" s="55">
        <f>IF('Survey Data'!A10="","",'Survey Data'!E10)</f>
        <v/>
      </c>
      <c r="C10" s="54">
        <f>IF('Survey Data'!A10="","",'Survey Data'!B10)</f>
        <v/>
      </c>
      <c r="D10" s="54">
        <f>IF('Survey Data'!A10="","",COUNTA('Survey Data'!B10:D10,'Survey Data'!F10:AM10))</f>
        <v/>
      </c>
      <c r="E10" s="54">
        <f>IF('Survey Data'!A10="","",37)</f>
        <v/>
      </c>
      <c r="F10" s="56">
        <f>IF(OR(D10="",E10=""),"",D10/E10)</f>
        <v/>
      </c>
      <c r="G10" s="56">
        <f>IF(F10="","",F10)</f>
        <v/>
      </c>
    </row>
    <row r="11" ht="20" customHeight="1">
      <c r="A11" s="51">
        <f>IF('Survey Data'!A11="","",'Survey Data'!A11)</f>
        <v/>
      </c>
      <c r="B11" s="52">
        <f>IF('Survey Data'!A11="","",'Survey Data'!E11)</f>
        <v/>
      </c>
      <c r="C11" s="51">
        <f>IF('Survey Data'!A11="","",'Survey Data'!B11)</f>
        <v/>
      </c>
      <c r="D11" s="51">
        <f>IF('Survey Data'!A11="","",COUNTA('Survey Data'!B11:D11,'Survey Data'!F11:AM11))</f>
        <v/>
      </c>
      <c r="E11" s="51">
        <f>IF('Survey Data'!A11="","",37)</f>
        <v/>
      </c>
      <c r="F11" s="53">
        <f>IF(OR(D11="",E11=""),"",D11/E11)</f>
        <v/>
      </c>
      <c r="G11" s="53">
        <f>IF(F11="","",F11)</f>
        <v/>
      </c>
    </row>
    <row r="12" ht="20" customHeight="1">
      <c r="A12" s="54">
        <f>IF('Survey Data'!A12="","",'Survey Data'!A12)</f>
        <v/>
      </c>
      <c r="B12" s="55">
        <f>IF('Survey Data'!A12="","",'Survey Data'!E12)</f>
        <v/>
      </c>
      <c r="C12" s="54">
        <f>IF('Survey Data'!A12="","",'Survey Data'!B12)</f>
        <v/>
      </c>
      <c r="D12" s="54">
        <f>IF('Survey Data'!A12="","",COUNTA('Survey Data'!B12:D12,'Survey Data'!F12:AM12))</f>
        <v/>
      </c>
      <c r="E12" s="54">
        <f>IF('Survey Data'!A12="","",37)</f>
        <v/>
      </c>
      <c r="F12" s="56">
        <f>IF(OR(D12="",E12=""),"",D12/E12)</f>
        <v/>
      </c>
      <c r="G12" s="56">
        <f>IF(F12="","",F12)</f>
        <v/>
      </c>
    </row>
    <row r="13" ht="20" customHeight="1">
      <c r="A13" s="51">
        <f>IF('Survey Data'!A13="","",'Survey Data'!A13)</f>
        <v/>
      </c>
      <c r="B13" s="52">
        <f>IF('Survey Data'!A13="","",'Survey Data'!E13)</f>
        <v/>
      </c>
      <c r="C13" s="51">
        <f>IF('Survey Data'!A13="","",'Survey Data'!B13)</f>
        <v/>
      </c>
      <c r="D13" s="51">
        <f>IF('Survey Data'!A13="","",COUNTA('Survey Data'!B13:D13,'Survey Data'!F13:AM13))</f>
        <v/>
      </c>
      <c r="E13" s="51">
        <f>IF('Survey Data'!A13="","",37)</f>
        <v/>
      </c>
      <c r="F13" s="53">
        <f>IF(OR(D13="",E13=""),"",D13/E13)</f>
        <v/>
      </c>
      <c r="G13" s="53">
        <f>IF(F13="","",F13)</f>
        <v/>
      </c>
    </row>
    <row r="14" ht="20" customHeight="1">
      <c r="A14" s="54">
        <f>IF('Survey Data'!A14="","",'Survey Data'!A14)</f>
        <v/>
      </c>
      <c r="B14" s="55">
        <f>IF('Survey Data'!A14="","",'Survey Data'!E14)</f>
        <v/>
      </c>
      <c r="C14" s="54">
        <f>IF('Survey Data'!A14="","",'Survey Data'!B14)</f>
        <v/>
      </c>
      <c r="D14" s="54">
        <f>IF('Survey Data'!A14="","",COUNTA('Survey Data'!B14:D14,'Survey Data'!F14:AM14))</f>
        <v/>
      </c>
      <c r="E14" s="54">
        <f>IF('Survey Data'!A14="","",37)</f>
        <v/>
      </c>
      <c r="F14" s="56">
        <f>IF(OR(D14="",E14=""),"",D14/E14)</f>
        <v/>
      </c>
      <c r="G14" s="56">
        <f>IF(F14="","",F14)</f>
        <v/>
      </c>
    </row>
    <row r="15" ht="20" customHeight="1">
      <c r="A15" s="51">
        <f>IF('Survey Data'!A15="","",'Survey Data'!A15)</f>
        <v/>
      </c>
      <c r="B15" s="52">
        <f>IF('Survey Data'!A15="","",'Survey Data'!E15)</f>
        <v/>
      </c>
      <c r="C15" s="51">
        <f>IF('Survey Data'!A15="","",'Survey Data'!B15)</f>
        <v/>
      </c>
      <c r="D15" s="51">
        <f>IF('Survey Data'!A15="","",COUNTA('Survey Data'!B15:D15,'Survey Data'!F15:AM15))</f>
        <v/>
      </c>
      <c r="E15" s="51">
        <f>IF('Survey Data'!A15="","",37)</f>
        <v/>
      </c>
      <c r="F15" s="53">
        <f>IF(OR(D15="",E15=""),"",D15/E15)</f>
        <v/>
      </c>
      <c r="G15" s="53">
        <f>IF(F15="","",F15)</f>
        <v/>
      </c>
    </row>
    <row r="16" ht="20" customHeight="1">
      <c r="A16" s="54">
        <f>IF('Survey Data'!A16="","",'Survey Data'!A16)</f>
        <v/>
      </c>
      <c r="B16" s="55">
        <f>IF('Survey Data'!A16="","",'Survey Data'!E16)</f>
        <v/>
      </c>
      <c r="C16" s="54">
        <f>IF('Survey Data'!A16="","",'Survey Data'!B16)</f>
        <v/>
      </c>
      <c r="D16" s="54">
        <f>IF('Survey Data'!A16="","",COUNTA('Survey Data'!B16:D16,'Survey Data'!F16:AM16))</f>
        <v/>
      </c>
      <c r="E16" s="54">
        <f>IF('Survey Data'!A16="","",37)</f>
        <v/>
      </c>
      <c r="F16" s="56">
        <f>IF(OR(D16="",E16=""),"",D16/E16)</f>
        <v/>
      </c>
      <c r="G16" s="56">
        <f>IF(F16="","",F16)</f>
        <v/>
      </c>
    </row>
    <row r="17" ht="20" customHeight="1">
      <c r="A17" s="51">
        <f>IF('Survey Data'!A17="","",'Survey Data'!A17)</f>
        <v/>
      </c>
      <c r="B17" s="52">
        <f>IF('Survey Data'!A17="","",'Survey Data'!E17)</f>
        <v/>
      </c>
      <c r="C17" s="51">
        <f>IF('Survey Data'!A17="","",'Survey Data'!B17)</f>
        <v/>
      </c>
      <c r="D17" s="51">
        <f>IF('Survey Data'!A17="","",COUNTA('Survey Data'!B17:D17,'Survey Data'!F17:AM17))</f>
        <v/>
      </c>
      <c r="E17" s="51">
        <f>IF('Survey Data'!A17="","",37)</f>
        <v/>
      </c>
      <c r="F17" s="53">
        <f>IF(OR(D17="",E17=""),"",D17/E17)</f>
        <v/>
      </c>
      <c r="G17" s="53">
        <f>IF(F17="","",F17)</f>
        <v/>
      </c>
    </row>
    <row r="18" ht="20" customHeight="1">
      <c r="A18" s="54">
        <f>IF('Survey Data'!A18="","",'Survey Data'!A18)</f>
        <v/>
      </c>
      <c r="B18" s="55">
        <f>IF('Survey Data'!A18="","",'Survey Data'!E18)</f>
        <v/>
      </c>
      <c r="C18" s="54">
        <f>IF('Survey Data'!A18="","",'Survey Data'!B18)</f>
        <v/>
      </c>
      <c r="D18" s="54">
        <f>IF('Survey Data'!A18="","",COUNTA('Survey Data'!B18:D18,'Survey Data'!F18:AM18))</f>
        <v/>
      </c>
      <c r="E18" s="54">
        <f>IF('Survey Data'!A18="","",37)</f>
        <v/>
      </c>
      <c r="F18" s="56">
        <f>IF(OR(D18="",E18=""),"",D18/E18)</f>
        <v/>
      </c>
      <c r="G18" s="56">
        <f>IF(F18="","",F18)</f>
        <v/>
      </c>
    </row>
    <row r="19" ht="20" customHeight="1">
      <c r="A19" s="51">
        <f>IF('Survey Data'!A19="","",'Survey Data'!A19)</f>
        <v/>
      </c>
      <c r="B19" s="52">
        <f>IF('Survey Data'!A19="","",'Survey Data'!E19)</f>
        <v/>
      </c>
      <c r="C19" s="51">
        <f>IF('Survey Data'!A19="","",'Survey Data'!B19)</f>
        <v/>
      </c>
      <c r="D19" s="51">
        <f>IF('Survey Data'!A19="","",COUNTA('Survey Data'!B19:D19,'Survey Data'!F19:AM19))</f>
        <v/>
      </c>
      <c r="E19" s="51">
        <f>IF('Survey Data'!A19="","",37)</f>
        <v/>
      </c>
      <c r="F19" s="53">
        <f>IF(OR(D19="",E19=""),"",D19/E19)</f>
        <v/>
      </c>
      <c r="G19" s="53">
        <f>IF(F19="","",F19)</f>
        <v/>
      </c>
    </row>
    <row r="20" ht="20" customHeight="1">
      <c r="A20" s="54">
        <f>IF('Survey Data'!A20="","",'Survey Data'!A20)</f>
        <v/>
      </c>
      <c r="B20" s="55">
        <f>IF('Survey Data'!A20="","",'Survey Data'!E20)</f>
        <v/>
      </c>
      <c r="C20" s="54">
        <f>IF('Survey Data'!A20="","",'Survey Data'!B20)</f>
        <v/>
      </c>
      <c r="D20" s="54">
        <f>IF('Survey Data'!A20="","",COUNTA('Survey Data'!B20:D20,'Survey Data'!F20:AM20))</f>
        <v/>
      </c>
      <c r="E20" s="54">
        <f>IF('Survey Data'!A20="","",37)</f>
        <v/>
      </c>
      <c r="F20" s="56">
        <f>IF(OR(D20="",E20=""),"",D20/E20)</f>
        <v/>
      </c>
      <c r="G20" s="56">
        <f>IF(F20="","",F20)</f>
        <v/>
      </c>
    </row>
    <row r="21" ht="20" customHeight="1">
      <c r="A21" s="51">
        <f>IF('Survey Data'!A21="","",'Survey Data'!A21)</f>
        <v/>
      </c>
      <c r="B21" s="52">
        <f>IF('Survey Data'!A21="","",'Survey Data'!E21)</f>
        <v/>
      </c>
      <c r="C21" s="51">
        <f>IF('Survey Data'!A21="","",'Survey Data'!B21)</f>
        <v/>
      </c>
      <c r="D21" s="51">
        <f>IF('Survey Data'!A21="","",COUNTA('Survey Data'!B21:D21,'Survey Data'!F21:AM21))</f>
        <v/>
      </c>
      <c r="E21" s="51">
        <f>IF('Survey Data'!A21="","",37)</f>
        <v/>
      </c>
      <c r="F21" s="53">
        <f>IF(OR(D21="",E21=""),"",D21/E21)</f>
        <v/>
      </c>
      <c r="G21" s="53">
        <f>IF(F21="","",F21)</f>
        <v/>
      </c>
    </row>
    <row r="22" ht="20" customHeight="1">
      <c r="A22" s="54">
        <f>IF('Survey Data'!A22="","",'Survey Data'!A22)</f>
        <v/>
      </c>
      <c r="B22" s="55">
        <f>IF('Survey Data'!A22="","",'Survey Data'!E22)</f>
        <v/>
      </c>
      <c r="C22" s="54">
        <f>IF('Survey Data'!A22="","",'Survey Data'!B22)</f>
        <v/>
      </c>
      <c r="D22" s="54">
        <f>IF('Survey Data'!A22="","",COUNTA('Survey Data'!B22:D22,'Survey Data'!F22:AM22))</f>
        <v/>
      </c>
      <c r="E22" s="54">
        <f>IF('Survey Data'!A22="","",37)</f>
        <v/>
      </c>
      <c r="F22" s="56">
        <f>IF(OR(D22="",E22=""),"",D22/E22)</f>
        <v/>
      </c>
      <c r="G22" s="56">
        <f>IF(F22="","",F22)</f>
        <v/>
      </c>
    </row>
    <row r="23" ht="20" customHeight="1">
      <c r="A23" s="51">
        <f>IF('Survey Data'!A23="","",'Survey Data'!A23)</f>
        <v/>
      </c>
      <c r="B23" s="52">
        <f>IF('Survey Data'!A23="","",'Survey Data'!E23)</f>
        <v/>
      </c>
      <c r="C23" s="51">
        <f>IF('Survey Data'!A23="","",'Survey Data'!B23)</f>
        <v/>
      </c>
      <c r="D23" s="51">
        <f>IF('Survey Data'!A23="","",COUNTA('Survey Data'!B23:D23,'Survey Data'!F23:AM23))</f>
        <v/>
      </c>
      <c r="E23" s="51">
        <f>IF('Survey Data'!A23="","",37)</f>
        <v/>
      </c>
      <c r="F23" s="53">
        <f>IF(OR(D23="",E23=""),"",D23/E23)</f>
        <v/>
      </c>
      <c r="G23" s="53">
        <f>IF(F23="","",F23)</f>
        <v/>
      </c>
    </row>
    <row r="24" ht="20" customHeight="1">
      <c r="A24" s="54">
        <f>IF('Survey Data'!A24="","",'Survey Data'!A24)</f>
        <v/>
      </c>
      <c r="B24" s="55">
        <f>IF('Survey Data'!A24="","",'Survey Data'!E24)</f>
        <v/>
      </c>
      <c r="C24" s="54">
        <f>IF('Survey Data'!A24="","",'Survey Data'!B24)</f>
        <v/>
      </c>
      <c r="D24" s="54">
        <f>IF('Survey Data'!A24="","",COUNTA('Survey Data'!B24:D24,'Survey Data'!F24:AM24))</f>
        <v/>
      </c>
      <c r="E24" s="54">
        <f>IF('Survey Data'!A24="","",37)</f>
        <v/>
      </c>
      <c r="F24" s="56">
        <f>IF(OR(D24="",E24=""),"",D24/E24)</f>
        <v/>
      </c>
      <c r="G24" s="56">
        <f>IF(F24="","",F24)</f>
        <v/>
      </c>
    </row>
    <row r="25" ht="20" customHeight="1">
      <c r="A25" s="51">
        <f>IF('Survey Data'!A25="","",'Survey Data'!A25)</f>
        <v/>
      </c>
      <c r="B25" s="52">
        <f>IF('Survey Data'!A25="","",'Survey Data'!E25)</f>
        <v/>
      </c>
      <c r="C25" s="51">
        <f>IF('Survey Data'!A25="","",'Survey Data'!B25)</f>
        <v/>
      </c>
      <c r="D25" s="51">
        <f>IF('Survey Data'!A25="","",COUNTA('Survey Data'!B25:D25,'Survey Data'!F25:AM25))</f>
        <v/>
      </c>
      <c r="E25" s="51">
        <f>IF('Survey Data'!A25="","",37)</f>
        <v/>
      </c>
      <c r="F25" s="53">
        <f>IF(OR(D25="",E25=""),"",D25/E25)</f>
        <v/>
      </c>
      <c r="G25" s="53">
        <f>IF(F25="","",F25)</f>
        <v/>
      </c>
    </row>
    <row r="26" ht="20" customHeight="1">
      <c r="A26" s="54">
        <f>IF('Survey Data'!A26="","",'Survey Data'!A26)</f>
        <v/>
      </c>
      <c r="B26" s="55">
        <f>IF('Survey Data'!A26="","",'Survey Data'!E26)</f>
        <v/>
      </c>
      <c r="C26" s="54">
        <f>IF('Survey Data'!A26="","",'Survey Data'!B26)</f>
        <v/>
      </c>
      <c r="D26" s="54">
        <f>IF('Survey Data'!A26="","",COUNTA('Survey Data'!B26:D26,'Survey Data'!F26:AM26))</f>
        <v/>
      </c>
      <c r="E26" s="54">
        <f>IF('Survey Data'!A26="","",37)</f>
        <v/>
      </c>
      <c r="F26" s="56">
        <f>IF(OR(D26="",E26=""),"",D26/E26)</f>
        <v/>
      </c>
      <c r="G26" s="56">
        <f>IF(F26="","",F26)</f>
        <v/>
      </c>
    </row>
    <row r="27" ht="20" customHeight="1">
      <c r="A27" s="51">
        <f>IF('Survey Data'!A27="","",'Survey Data'!A27)</f>
        <v/>
      </c>
      <c r="B27" s="52">
        <f>IF('Survey Data'!A27="","",'Survey Data'!E27)</f>
        <v/>
      </c>
      <c r="C27" s="51">
        <f>IF('Survey Data'!A27="","",'Survey Data'!B27)</f>
        <v/>
      </c>
      <c r="D27" s="51">
        <f>IF('Survey Data'!A27="","",COUNTA('Survey Data'!B27:D27,'Survey Data'!F27:AM27))</f>
        <v/>
      </c>
      <c r="E27" s="51">
        <f>IF('Survey Data'!A27="","",37)</f>
        <v/>
      </c>
      <c r="F27" s="53">
        <f>IF(OR(D27="",E27=""),"",D27/E27)</f>
        <v/>
      </c>
      <c r="G27" s="53">
        <f>IF(F27="","",F27)</f>
        <v/>
      </c>
    </row>
    <row r="28" ht="20" customHeight="1">
      <c r="A28" s="54">
        <f>IF('Survey Data'!A28="","",'Survey Data'!A28)</f>
        <v/>
      </c>
      <c r="B28" s="55">
        <f>IF('Survey Data'!A28="","",'Survey Data'!E28)</f>
        <v/>
      </c>
      <c r="C28" s="54">
        <f>IF('Survey Data'!A28="","",'Survey Data'!B28)</f>
        <v/>
      </c>
      <c r="D28" s="54">
        <f>IF('Survey Data'!A28="","",COUNTA('Survey Data'!B28:D28,'Survey Data'!F28:AM28))</f>
        <v/>
      </c>
      <c r="E28" s="54">
        <f>IF('Survey Data'!A28="","",37)</f>
        <v/>
      </c>
      <c r="F28" s="56">
        <f>IF(OR(D28="",E28=""),"",D28/E28)</f>
        <v/>
      </c>
      <c r="G28" s="56">
        <f>IF(F28="","",F28)</f>
        <v/>
      </c>
    </row>
    <row r="29" ht="20" customHeight="1">
      <c r="A29" s="51">
        <f>IF('Survey Data'!A29="","",'Survey Data'!A29)</f>
        <v/>
      </c>
      <c r="B29" s="52">
        <f>IF('Survey Data'!A29="","",'Survey Data'!E29)</f>
        <v/>
      </c>
      <c r="C29" s="51">
        <f>IF('Survey Data'!A29="","",'Survey Data'!B29)</f>
        <v/>
      </c>
      <c r="D29" s="51">
        <f>IF('Survey Data'!A29="","",COUNTA('Survey Data'!B29:D29,'Survey Data'!F29:AM29))</f>
        <v/>
      </c>
      <c r="E29" s="51">
        <f>IF('Survey Data'!A29="","",37)</f>
        <v/>
      </c>
      <c r="F29" s="53">
        <f>IF(OR(D29="",E29=""),"",D29/E29)</f>
        <v/>
      </c>
      <c r="G29" s="53">
        <f>IF(F29="","",F29)</f>
        <v/>
      </c>
    </row>
    <row r="30" ht="20" customHeight="1">
      <c r="A30" s="54">
        <f>IF('Survey Data'!A30="","",'Survey Data'!A30)</f>
        <v/>
      </c>
      <c r="B30" s="55">
        <f>IF('Survey Data'!A30="","",'Survey Data'!E30)</f>
        <v/>
      </c>
      <c r="C30" s="54">
        <f>IF('Survey Data'!A30="","",'Survey Data'!B30)</f>
        <v/>
      </c>
      <c r="D30" s="54">
        <f>IF('Survey Data'!A30="","",COUNTA('Survey Data'!B30:D30,'Survey Data'!F30:AM30))</f>
        <v/>
      </c>
      <c r="E30" s="54">
        <f>IF('Survey Data'!A30="","",37)</f>
        <v/>
      </c>
      <c r="F30" s="56">
        <f>IF(OR(D30="",E30=""),"",D30/E30)</f>
        <v/>
      </c>
      <c r="G30" s="56">
        <f>IF(F30="","",F30)</f>
        <v/>
      </c>
    </row>
    <row r="31" ht="20" customHeight="1">
      <c r="A31" s="51">
        <f>IF('Survey Data'!A31="","",'Survey Data'!A31)</f>
        <v/>
      </c>
      <c r="B31" s="52">
        <f>IF('Survey Data'!A31="","",'Survey Data'!E31)</f>
        <v/>
      </c>
      <c r="C31" s="51">
        <f>IF('Survey Data'!A31="","",'Survey Data'!B31)</f>
        <v/>
      </c>
      <c r="D31" s="51">
        <f>IF('Survey Data'!A31="","",COUNTA('Survey Data'!B31:D31,'Survey Data'!F31:AM31))</f>
        <v/>
      </c>
      <c r="E31" s="51">
        <f>IF('Survey Data'!A31="","",37)</f>
        <v/>
      </c>
      <c r="F31" s="53">
        <f>IF(OR(D31="",E31=""),"",D31/E31)</f>
        <v/>
      </c>
      <c r="G31" s="53">
        <f>IF(F31="","",F31)</f>
        <v/>
      </c>
    </row>
    <row r="32" ht="20" customHeight="1">
      <c r="A32" s="54">
        <f>IF('Survey Data'!A32="","",'Survey Data'!A32)</f>
        <v/>
      </c>
      <c r="B32" s="55">
        <f>IF('Survey Data'!A32="","",'Survey Data'!E32)</f>
        <v/>
      </c>
      <c r="C32" s="54">
        <f>IF('Survey Data'!A32="","",'Survey Data'!B32)</f>
        <v/>
      </c>
      <c r="D32" s="54">
        <f>IF('Survey Data'!A32="","",COUNTA('Survey Data'!B32:D32,'Survey Data'!F32:AM32))</f>
        <v/>
      </c>
      <c r="E32" s="54">
        <f>IF('Survey Data'!A32="","",37)</f>
        <v/>
      </c>
      <c r="F32" s="56">
        <f>IF(OR(D32="",E32=""),"",D32/E32)</f>
        <v/>
      </c>
      <c r="G32" s="56">
        <f>IF(F32="","",F32)</f>
        <v/>
      </c>
    </row>
    <row r="33" ht="20" customHeight="1">
      <c r="A33" s="51">
        <f>IF('Survey Data'!A33="","",'Survey Data'!A33)</f>
        <v/>
      </c>
      <c r="B33" s="52">
        <f>IF('Survey Data'!A33="","",'Survey Data'!E33)</f>
        <v/>
      </c>
      <c r="C33" s="51">
        <f>IF('Survey Data'!A33="","",'Survey Data'!B33)</f>
        <v/>
      </c>
      <c r="D33" s="51">
        <f>IF('Survey Data'!A33="","",COUNTA('Survey Data'!B33:D33,'Survey Data'!F33:AM33))</f>
        <v/>
      </c>
      <c r="E33" s="51">
        <f>IF('Survey Data'!A33="","",37)</f>
        <v/>
      </c>
      <c r="F33" s="53">
        <f>IF(OR(D33="",E33=""),"",D33/E33)</f>
        <v/>
      </c>
      <c r="G33" s="53">
        <f>IF(F33="","",F33)</f>
        <v/>
      </c>
    </row>
    <row r="34" ht="20" customHeight="1">
      <c r="A34" s="54">
        <f>IF('Survey Data'!A34="","",'Survey Data'!A34)</f>
        <v/>
      </c>
      <c r="B34" s="55">
        <f>IF('Survey Data'!A34="","",'Survey Data'!E34)</f>
        <v/>
      </c>
      <c r="C34" s="54">
        <f>IF('Survey Data'!A34="","",'Survey Data'!B34)</f>
        <v/>
      </c>
      <c r="D34" s="54">
        <f>IF('Survey Data'!A34="","",COUNTA('Survey Data'!B34:D34,'Survey Data'!F34:AM34))</f>
        <v/>
      </c>
      <c r="E34" s="54">
        <f>IF('Survey Data'!A34="","",37)</f>
        <v/>
      </c>
      <c r="F34" s="56">
        <f>IF(OR(D34="",E34=""),"",D34/E34)</f>
        <v/>
      </c>
      <c r="G34" s="56">
        <f>IF(F34="","",F34)</f>
        <v/>
      </c>
    </row>
    <row r="35" ht="20" customHeight="1">
      <c r="A35" s="51">
        <f>IF('Survey Data'!A35="","",'Survey Data'!A35)</f>
        <v/>
      </c>
      <c r="B35" s="52">
        <f>IF('Survey Data'!A35="","",'Survey Data'!E35)</f>
        <v/>
      </c>
      <c r="C35" s="51">
        <f>IF('Survey Data'!A35="","",'Survey Data'!B35)</f>
        <v/>
      </c>
      <c r="D35" s="51">
        <f>IF('Survey Data'!A35="","",COUNTA('Survey Data'!B35:D35,'Survey Data'!F35:AM35))</f>
        <v/>
      </c>
      <c r="E35" s="51">
        <f>IF('Survey Data'!A35="","",37)</f>
        <v/>
      </c>
      <c r="F35" s="53">
        <f>IF(OR(D35="",E35=""),"",D35/E35)</f>
        <v/>
      </c>
      <c r="G35" s="53">
        <f>IF(F35="","",F35)</f>
        <v/>
      </c>
    </row>
    <row r="36" ht="20" customHeight="1">
      <c r="A36" s="54">
        <f>IF('Survey Data'!A36="","",'Survey Data'!A36)</f>
        <v/>
      </c>
      <c r="B36" s="55">
        <f>IF('Survey Data'!A36="","",'Survey Data'!E36)</f>
        <v/>
      </c>
      <c r="C36" s="54">
        <f>IF('Survey Data'!A36="","",'Survey Data'!B36)</f>
        <v/>
      </c>
      <c r="D36" s="54">
        <f>IF('Survey Data'!A36="","",COUNTA('Survey Data'!B36:D36,'Survey Data'!F36:AM36))</f>
        <v/>
      </c>
      <c r="E36" s="54">
        <f>IF('Survey Data'!A36="","",37)</f>
        <v/>
      </c>
      <c r="F36" s="56">
        <f>IF(OR(D36="",E36=""),"",D36/E36)</f>
        <v/>
      </c>
      <c r="G36" s="56">
        <f>IF(F36="","",F36)</f>
        <v/>
      </c>
    </row>
    <row r="37" ht="20" customHeight="1">
      <c r="A37" s="51">
        <f>IF('Survey Data'!A37="","",'Survey Data'!A37)</f>
        <v/>
      </c>
      <c r="B37" s="52">
        <f>IF('Survey Data'!A37="","",'Survey Data'!E37)</f>
        <v/>
      </c>
      <c r="C37" s="51">
        <f>IF('Survey Data'!A37="","",'Survey Data'!B37)</f>
        <v/>
      </c>
      <c r="D37" s="51">
        <f>IF('Survey Data'!A37="","",COUNTA('Survey Data'!B37:D37,'Survey Data'!F37:AM37))</f>
        <v/>
      </c>
      <c r="E37" s="51">
        <f>IF('Survey Data'!A37="","",37)</f>
        <v/>
      </c>
      <c r="F37" s="53">
        <f>IF(OR(D37="",E37=""),"",D37/E37)</f>
        <v/>
      </c>
      <c r="G37" s="53">
        <f>IF(F37="","",F37)</f>
        <v/>
      </c>
    </row>
    <row r="38" ht="20" customHeight="1">
      <c r="A38" s="54">
        <f>IF('Survey Data'!A38="","",'Survey Data'!A38)</f>
        <v/>
      </c>
      <c r="B38" s="55">
        <f>IF('Survey Data'!A38="","",'Survey Data'!E38)</f>
        <v/>
      </c>
      <c r="C38" s="54">
        <f>IF('Survey Data'!A38="","",'Survey Data'!B38)</f>
        <v/>
      </c>
      <c r="D38" s="54">
        <f>IF('Survey Data'!A38="","",COUNTA('Survey Data'!B38:D38,'Survey Data'!F38:AM38))</f>
        <v/>
      </c>
      <c r="E38" s="54">
        <f>IF('Survey Data'!A38="","",37)</f>
        <v/>
      </c>
      <c r="F38" s="56">
        <f>IF(OR(D38="",E38=""),"",D38/E38)</f>
        <v/>
      </c>
      <c r="G38" s="56">
        <f>IF(F38="","",F38)</f>
        <v/>
      </c>
    </row>
    <row r="39" ht="20" customHeight="1">
      <c r="A39" s="51">
        <f>IF('Survey Data'!A39="","",'Survey Data'!A39)</f>
        <v/>
      </c>
      <c r="B39" s="52">
        <f>IF('Survey Data'!A39="","",'Survey Data'!E39)</f>
        <v/>
      </c>
      <c r="C39" s="51">
        <f>IF('Survey Data'!A39="","",'Survey Data'!B39)</f>
        <v/>
      </c>
      <c r="D39" s="51">
        <f>IF('Survey Data'!A39="","",COUNTA('Survey Data'!B39:D39,'Survey Data'!F39:AM39))</f>
        <v/>
      </c>
      <c r="E39" s="51">
        <f>IF('Survey Data'!A39="","",37)</f>
        <v/>
      </c>
      <c r="F39" s="53">
        <f>IF(OR(D39="",E39=""),"",D39/E39)</f>
        <v/>
      </c>
      <c r="G39" s="53">
        <f>IF(F39="","",F39)</f>
        <v/>
      </c>
    </row>
    <row r="40" ht="20" customHeight="1">
      <c r="A40" s="54">
        <f>IF('Survey Data'!A40="","",'Survey Data'!A40)</f>
        <v/>
      </c>
      <c r="B40" s="55">
        <f>IF('Survey Data'!A40="","",'Survey Data'!E40)</f>
        <v/>
      </c>
      <c r="C40" s="54">
        <f>IF('Survey Data'!A40="","",'Survey Data'!B40)</f>
        <v/>
      </c>
      <c r="D40" s="54">
        <f>IF('Survey Data'!A40="","",COUNTA('Survey Data'!B40:D40,'Survey Data'!F40:AM40))</f>
        <v/>
      </c>
      <c r="E40" s="54">
        <f>IF('Survey Data'!A40="","",37)</f>
        <v/>
      </c>
      <c r="F40" s="56">
        <f>IF(OR(D40="",E40=""),"",D40/E40)</f>
        <v/>
      </c>
      <c r="G40" s="56">
        <f>IF(F40="","",F40)</f>
        <v/>
      </c>
    </row>
    <row r="41" ht="20" customHeight="1">
      <c r="A41" s="51">
        <f>IF('Survey Data'!A41="","",'Survey Data'!A41)</f>
        <v/>
      </c>
      <c r="B41" s="52">
        <f>IF('Survey Data'!A41="","",'Survey Data'!E41)</f>
        <v/>
      </c>
      <c r="C41" s="51">
        <f>IF('Survey Data'!A41="","",'Survey Data'!B41)</f>
        <v/>
      </c>
      <c r="D41" s="51">
        <f>IF('Survey Data'!A41="","",COUNTA('Survey Data'!B41:D41,'Survey Data'!F41:AM41))</f>
        <v/>
      </c>
      <c r="E41" s="51">
        <f>IF('Survey Data'!A41="","",37)</f>
        <v/>
      </c>
      <c r="F41" s="53">
        <f>IF(OR(D41="",E41=""),"",D41/E41)</f>
        <v/>
      </c>
      <c r="G41" s="53">
        <f>IF(F41="","",F41)</f>
        <v/>
      </c>
    </row>
    <row r="42" ht="20" customHeight="1">
      <c r="A42" s="54">
        <f>IF('Survey Data'!A42="","",'Survey Data'!A42)</f>
        <v/>
      </c>
      <c r="B42" s="55">
        <f>IF('Survey Data'!A42="","",'Survey Data'!E42)</f>
        <v/>
      </c>
      <c r="C42" s="54">
        <f>IF('Survey Data'!A42="","",'Survey Data'!B42)</f>
        <v/>
      </c>
      <c r="D42" s="54">
        <f>IF('Survey Data'!A42="","",COUNTA('Survey Data'!B42:D42,'Survey Data'!F42:AM42))</f>
        <v/>
      </c>
      <c r="E42" s="54">
        <f>IF('Survey Data'!A42="","",37)</f>
        <v/>
      </c>
      <c r="F42" s="56">
        <f>IF(OR(D42="",E42=""),"",D42/E42)</f>
        <v/>
      </c>
      <c r="G42" s="56">
        <f>IF(F42="","",F42)</f>
        <v/>
      </c>
    </row>
    <row r="43" ht="20" customHeight="1">
      <c r="A43" s="51">
        <f>IF('Survey Data'!A43="","",'Survey Data'!A43)</f>
        <v/>
      </c>
      <c r="B43" s="52">
        <f>IF('Survey Data'!A43="","",'Survey Data'!E43)</f>
        <v/>
      </c>
      <c r="C43" s="51">
        <f>IF('Survey Data'!A43="","",'Survey Data'!B43)</f>
        <v/>
      </c>
      <c r="D43" s="51">
        <f>IF('Survey Data'!A43="","",COUNTA('Survey Data'!B43:D43,'Survey Data'!F43:AM43))</f>
        <v/>
      </c>
      <c r="E43" s="51">
        <f>IF('Survey Data'!A43="","",37)</f>
        <v/>
      </c>
      <c r="F43" s="53">
        <f>IF(OR(D43="",E43=""),"",D43/E43)</f>
        <v/>
      </c>
      <c r="G43" s="53">
        <f>IF(F43="","",F43)</f>
        <v/>
      </c>
    </row>
    <row r="44" ht="20" customHeight="1">
      <c r="A44" s="54">
        <f>IF('Survey Data'!A44="","",'Survey Data'!A44)</f>
        <v/>
      </c>
      <c r="B44" s="55">
        <f>IF('Survey Data'!A44="","",'Survey Data'!E44)</f>
        <v/>
      </c>
      <c r="C44" s="54">
        <f>IF('Survey Data'!A44="","",'Survey Data'!B44)</f>
        <v/>
      </c>
      <c r="D44" s="54">
        <f>IF('Survey Data'!A44="","",COUNTA('Survey Data'!B44:D44,'Survey Data'!F44:AM44))</f>
        <v/>
      </c>
      <c r="E44" s="54">
        <f>IF('Survey Data'!A44="","",37)</f>
        <v/>
      </c>
      <c r="F44" s="56">
        <f>IF(OR(D44="",E44=""),"",D44/E44)</f>
        <v/>
      </c>
      <c r="G44" s="56">
        <f>IF(F44="","",F44)</f>
        <v/>
      </c>
    </row>
    <row r="45" ht="20" customHeight="1">
      <c r="A45" s="51">
        <f>IF('Survey Data'!A45="","",'Survey Data'!A45)</f>
        <v/>
      </c>
      <c r="B45" s="52">
        <f>IF('Survey Data'!A45="","",'Survey Data'!E45)</f>
        <v/>
      </c>
      <c r="C45" s="51">
        <f>IF('Survey Data'!A45="","",'Survey Data'!B45)</f>
        <v/>
      </c>
      <c r="D45" s="51">
        <f>IF('Survey Data'!A45="","",COUNTA('Survey Data'!B45:D45,'Survey Data'!F45:AM45))</f>
        <v/>
      </c>
      <c r="E45" s="51">
        <f>IF('Survey Data'!A45="","",37)</f>
        <v/>
      </c>
      <c r="F45" s="53">
        <f>IF(OR(D45="",E45=""),"",D45/E45)</f>
        <v/>
      </c>
      <c r="G45" s="53">
        <f>IF(F45="","",F45)</f>
        <v/>
      </c>
    </row>
    <row r="46" ht="20" customHeight="1">
      <c r="A46" s="54">
        <f>IF('Survey Data'!A46="","",'Survey Data'!A46)</f>
        <v/>
      </c>
      <c r="B46" s="55">
        <f>IF('Survey Data'!A46="","",'Survey Data'!E46)</f>
        <v/>
      </c>
      <c r="C46" s="54">
        <f>IF('Survey Data'!A46="","",'Survey Data'!B46)</f>
        <v/>
      </c>
      <c r="D46" s="54">
        <f>IF('Survey Data'!A46="","",COUNTA('Survey Data'!B46:D46,'Survey Data'!F46:AM46))</f>
        <v/>
      </c>
      <c r="E46" s="54">
        <f>IF('Survey Data'!A46="","",37)</f>
        <v/>
      </c>
      <c r="F46" s="56">
        <f>IF(OR(D46="",E46=""),"",D46/E46)</f>
        <v/>
      </c>
      <c r="G46" s="56">
        <f>IF(F46="","",F46)</f>
        <v/>
      </c>
    </row>
    <row r="47" ht="20" customHeight="1">
      <c r="A47" s="51">
        <f>IF('Survey Data'!A47="","",'Survey Data'!A47)</f>
        <v/>
      </c>
      <c r="B47" s="52">
        <f>IF('Survey Data'!A47="","",'Survey Data'!E47)</f>
        <v/>
      </c>
      <c r="C47" s="51">
        <f>IF('Survey Data'!A47="","",'Survey Data'!B47)</f>
        <v/>
      </c>
      <c r="D47" s="51">
        <f>IF('Survey Data'!A47="","",COUNTA('Survey Data'!B47:D47,'Survey Data'!F47:AM47))</f>
        <v/>
      </c>
      <c r="E47" s="51">
        <f>IF('Survey Data'!A47="","",37)</f>
        <v/>
      </c>
      <c r="F47" s="53">
        <f>IF(OR(D47="",E47=""),"",D47/E47)</f>
        <v/>
      </c>
      <c r="G47" s="53">
        <f>IF(F47="","",F47)</f>
        <v/>
      </c>
    </row>
    <row r="48" ht="20" customHeight="1">
      <c r="A48" s="54">
        <f>IF('Survey Data'!A48="","",'Survey Data'!A48)</f>
        <v/>
      </c>
      <c r="B48" s="55">
        <f>IF('Survey Data'!A48="","",'Survey Data'!E48)</f>
        <v/>
      </c>
      <c r="C48" s="54">
        <f>IF('Survey Data'!A48="","",'Survey Data'!B48)</f>
        <v/>
      </c>
      <c r="D48" s="54">
        <f>IF('Survey Data'!A48="","",COUNTA('Survey Data'!B48:D48,'Survey Data'!F48:AM48))</f>
        <v/>
      </c>
      <c r="E48" s="54">
        <f>IF('Survey Data'!A48="","",37)</f>
        <v/>
      </c>
      <c r="F48" s="56">
        <f>IF(OR(D48="",E48=""),"",D48/E48)</f>
        <v/>
      </c>
      <c r="G48" s="56">
        <f>IF(F48="","",F48)</f>
        <v/>
      </c>
    </row>
    <row r="49" ht="20" customHeight="1">
      <c r="A49" s="51">
        <f>IF('Survey Data'!A49="","",'Survey Data'!A49)</f>
        <v/>
      </c>
      <c r="B49" s="52">
        <f>IF('Survey Data'!A49="","",'Survey Data'!E49)</f>
        <v/>
      </c>
      <c r="C49" s="51">
        <f>IF('Survey Data'!A49="","",'Survey Data'!B49)</f>
        <v/>
      </c>
      <c r="D49" s="51">
        <f>IF('Survey Data'!A49="","",COUNTA('Survey Data'!B49:D49,'Survey Data'!F49:AM49))</f>
        <v/>
      </c>
      <c r="E49" s="51">
        <f>IF('Survey Data'!A49="","",37)</f>
        <v/>
      </c>
      <c r="F49" s="53">
        <f>IF(OR(D49="",E49=""),"",D49/E49)</f>
        <v/>
      </c>
      <c r="G49" s="53">
        <f>IF(F49="","",F49)</f>
        <v/>
      </c>
    </row>
    <row r="50" ht="20" customHeight="1">
      <c r="A50" s="54">
        <f>IF('Survey Data'!A50="","",'Survey Data'!A50)</f>
        <v/>
      </c>
      <c r="B50" s="55">
        <f>IF('Survey Data'!A50="","",'Survey Data'!E50)</f>
        <v/>
      </c>
      <c r="C50" s="54">
        <f>IF('Survey Data'!A50="","",'Survey Data'!B50)</f>
        <v/>
      </c>
      <c r="D50" s="54">
        <f>IF('Survey Data'!A50="","",COUNTA('Survey Data'!B50:D50,'Survey Data'!F50:AM50))</f>
        <v/>
      </c>
      <c r="E50" s="54">
        <f>IF('Survey Data'!A50="","",37)</f>
        <v/>
      </c>
      <c r="F50" s="56">
        <f>IF(OR(D50="",E50=""),"",D50/E50)</f>
        <v/>
      </c>
      <c r="G50" s="56">
        <f>IF(F50="","",F50)</f>
        <v/>
      </c>
    </row>
    <row r="51" ht="20" customHeight="1">
      <c r="A51" s="51">
        <f>IF('Survey Data'!A51="","",'Survey Data'!A51)</f>
        <v/>
      </c>
      <c r="B51" s="52">
        <f>IF('Survey Data'!A51="","",'Survey Data'!E51)</f>
        <v/>
      </c>
      <c r="C51" s="51">
        <f>IF('Survey Data'!A51="","",'Survey Data'!B51)</f>
        <v/>
      </c>
      <c r="D51" s="51">
        <f>IF('Survey Data'!A51="","",COUNTA('Survey Data'!B51:D51,'Survey Data'!F51:AM51))</f>
        <v/>
      </c>
      <c r="E51" s="51">
        <f>IF('Survey Data'!A51="","",37)</f>
        <v/>
      </c>
      <c r="F51" s="53">
        <f>IF(OR(D51="",E51=""),"",D51/E51)</f>
        <v/>
      </c>
      <c r="G51" s="53">
        <f>IF(F51="","",F51)</f>
        <v/>
      </c>
    </row>
    <row r="52" ht="20" customHeight="1">
      <c r="A52" s="54">
        <f>IF('Survey Data'!A52="","",'Survey Data'!A52)</f>
        <v/>
      </c>
      <c r="B52" s="55">
        <f>IF('Survey Data'!A52="","",'Survey Data'!E52)</f>
        <v/>
      </c>
      <c r="C52" s="54">
        <f>IF('Survey Data'!A52="","",'Survey Data'!B52)</f>
        <v/>
      </c>
      <c r="D52" s="54">
        <f>IF('Survey Data'!A52="","",COUNTA('Survey Data'!B52:D52,'Survey Data'!F52:AM52))</f>
        <v/>
      </c>
      <c r="E52" s="54">
        <f>IF('Survey Data'!A52="","",37)</f>
        <v/>
      </c>
      <c r="F52" s="56">
        <f>IF(OR(D52="",E52=""),"",D52/E52)</f>
        <v/>
      </c>
      <c r="G52" s="56">
        <f>IF(F52="","",F52)</f>
        <v/>
      </c>
    </row>
    <row r="53" ht="20" customHeight="1">
      <c r="A53" s="51">
        <f>IF('Survey Data'!A53="","",'Survey Data'!A53)</f>
        <v/>
      </c>
      <c r="B53" s="52">
        <f>IF('Survey Data'!A53="","",'Survey Data'!E53)</f>
        <v/>
      </c>
      <c r="C53" s="51">
        <f>IF('Survey Data'!A53="","",'Survey Data'!B53)</f>
        <v/>
      </c>
      <c r="D53" s="51">
        <f>IF('Survey Data'!A53="","",COUNTA('Survey Data'!B53:D53,'Survey Data'!F53:AM53))</f>
        <v/>
      </c>
      <c r="E53" s="51">
        <f>IF('Survey Data'!A53="","",37)</f>
        <v/>
      </c>
      <c r="F53" s="53">
        <f>IF(OR(D53="",E53=""),"",D53/E53)</f>
        <v/>
      </c>
      <c r="G53" s="53">
        <f>IF(F53="","",F53)</f>
        <v/>
      </c>
    </row>
    <row r="54" ht="20" customHeight="1">
      <c r="A54" s="54">
        <f>IF('Survey Data'!A54="","",'Survey Data'!A54)</f>
        <v/>
      </c>
      <c r="B54" s="55">
        <f>IF('Survey Data'!A54="","",'Survey Data'!E54)</f>
        <v/>
      </c>
      <c r="C54" s="54">
        <f>IF('Survey Data'!A54="","",'Survey Data'!B54)</f>
        <v/>
      </c>
      <c r="D54" s="54">
        <f>IF('Survey Data'!A54="","",COUNTA('Survey Data'!B54:D54,'Survey Data'!F54:AM54))</f>
        <v/>
      </c>
      <c r="E54" s="54">
        <f>IF('Survey Data'!A54="","",37)</f>
        <v/>
      </c>
      <c r="F54" s="56">
        <f>IF(OR(D54="",E54=""),"",D54/E54)</f>
        <v/>
      </c>
      <c r="G54" s="56">
        <f>IF(F54="","",F54)</f>
        <v/>
      </c>
    </row>
    <row r="55" ht="20" customHeight="1">
      <c r="A55" s="51">
        <f>IF('Survey Data'!A55="","",'Survey Data'!A55)</f>
        <v/>
      </c>
      <c r="B55" s="52">
        <f>IF('Survey Data'!A55="","",'Survey Data'!E55)</f>
        <v/>
      </c>
      <c r="C55" s="51">
        <f>IF('Survey Data'!A55="","",'Survey Data'!B55)</f>
        <v/>
      </c>
      <c r="D55" s="51">
        <f>IF('Survey Data'!A55="","",COUNTA('Survey Data'!B55:D55,'Survey Data'!F55:AM55))</f>
        <v/>
      </c>
      <c r="E55" s="51">
        <f>IF('Survey Data'!A55="","",37)</f>
        <v/>
      </c>
      <c r="F55" s="53">
        <f>IF(OR(D55="",E55=""),"",D55/E55)</f>
        <v/>
      </c>
      <c r="G55" s="53">
        <f>IF(F55="","",F55)</f>
        <v/>
      </c>
    </row>
    <row r="56" ht="20" customHeight="1">
      <c r="A56" s="54">
        <f>IF('Survey Data'!A56="","",'Survey Data'!A56)</f>
        <v/>
      </c>
      <c r="B56" s="55">
        <f>IF('Survey Data'!A56="","",'Survey Data'!E56)</f>
        <v/>
      </c>
      <c r="C56" s="54">
        <f>IF('Survey Data'!A56="","",'Survey Data'!B56)</f>
        <v/>
      </c>
      <c r="D56" s="54">
        <f>IF('Survey Data'!A56="","",COUNTA('Survey Data'!B56:D56,'Survey Data'!F56:AM56))</f>
        <v/>
      </c>
      <c r="E56" s="54">
        <f>IF('Survey Data'!A56="","",37)</f>
        <v/>
      </c>
      <c r="F56" s="56">
        <f>IF(OR(D56="",E56=""),"",D56/E56)</f>
        <v/>
      </c>
      <c r="G56" s="56">
        <f>IF(F56="","",F56)</f>
        <v/>
      </c>
    </row>
    <row r="57" ht="20" customHeight="1">
      <c r="A57" s="51">
        <f>IF('Survey Data'!A57="","",'Survey Data'!A57)</f>
        <v/>
      </c>
      <c r="B57" s="52">
        <f>IF('Survey Data'!A57="","",'Survey Data'!E57)</f>
        <v/>
      </c>
      <c r="C57" s="51">
        <f>IF('Survey Data'!A57="","",'Survey Data'!B57)</f>
        <v/>
      </c>
      <c r="D57" s="51">
        <f>IF('Survey Data'!A57="","",COUNTA('Survey Data'!B57:D57,'Survey Data'!F57:AM57))</f>
        <v/>
      </c>
      <c r="E57" s="51">
        <f>IF('Survey Data'!A57="","",37)</f>
        <v/>
      </c>
      <c r="F57" s="53">
        <f>IF(OR(D57="",E57=""),"",D57/E57)</f>
        <v/>
      </c>
      <c r="G57" s="53">
        <f>IF(F57="","",F57)</f>
        <v/>
      </c>
    </row>
    <row r="58" ht="20" customHeight="1">
      <c r="A58" s="54">
        <f>IF('Survey Data'!A58="","",'Survey Data'!A58)</f>
        <v/>
      </c>
      <c r="B58" s="55">
        <f>IF('Survey Data'!A58="","",'Survey Data'!E58)</f>
        <v/>
      </c>
      <c r="C58" s="54">
        <f>IF('Survey Data'!A58="","",'Survey Data'!B58)</f>
        <v/>
      </c>
      <c r="D58" s="54">
        <f>IF('Survey Data'!A58="","",COUNTA('Survey Data'!B58:D58,'Survey Data'!F58:AM58))</f>
        <v/>
      </c>
      <c r="E58" s="54">
        <f>IF('Survey Data'!A58="","",37)</f>
        <v/>
      </c>
      <c r="F58" s="56">
        <f>IF(OR(D58="",E58=""),"",D58/E58)</f>
        <v/>
      </c>
      <c r="G58" s="56">
        <f>IF(F58="","",F58)</f>
        <v/>
      </c>
    </row>
    <row r="59" ht="20" customHeight="1">
      <c r="A59" s="51">
        <f>IF('Survey Data'!A59="","",'Survey Data'!A59)</f>
        <v/>
      </c>
      <c r="B59" s="52">
        <f>IF('Survey Data'!A59="","",'Survey Data'!E59)</f>
        <v/>
      </c>
      <c r="C59" s="51">
        <f>IF('Survey Data'!A59="","",'Survey Data'!B59)</f>
        <v/>
      </c>
      <c r="D59" s="51">
        <f>IF('Survey Data'!A59="","",COUNTA('Survey Data'!B59:D59,'Survey Data'!F59:AM59))</f>
        <v/>
      </c>
      <c r="E59" s="51">
        <f>IF('Survey Data'!A59="","",37)</f>
        <v/>
      </c>
      <c r="F59" s="53">
        <f>IF(OR(D59="",E59=""),"",D59/E59)</f>
        <v/>
      </c>
      <c r="G59" s="53">
        <f>IF(F59="","",F59)</f>
        <v/>
      </c>
    </row>
    <row r="60" ht="20" customHeight="1">
      <c r="A60" s="54">
        <f>IF('Survey Data'!A60="","",'Survey Data'!A60)</f>
        <v/>
      </c>
      <c r="B60" s="55">
        <f>IF('Survey Data'!A60="","",'Survey Data'!E60)</f>
        <v/>
      </c>
      <c r="C60" s="54">
        <f>IF('Survey Data'!A60="","",'Survey Data'!B60)</f>
        <v/>
      </c>
      <c r="D60" s="54">
        <f>IF('Survey Data'!A60="","",COUNTA('Survey Data'!B60:D60,'Survey Data'!F60:AM60))</f>
        <v/>
      </c>
      <c r="E60" s="54">
        <f>IF('Survey Data'!A60="","",37)</f>
        <v/>
      </c>
      <c r="F60" s="56">
        <f>IF(OR(D60="",E60=""),"",D60/E60)</f>
        <v/>
      </c>
      <c r="G60" s="56">
        <f>IF(F60="","",F60)</f>
        <v/>
      </c>
    </row>
    <row r="61" ht="20" customHeight="1">
      <c r="A61" s="51">
        <f>IF('Survey Data'!A61="","",'Survey Data'!A61)</f>
        <v/>
      </c>
      <c r="B61" s="52">
        <f>IF('Survey Data'!A61="","",'Survey Data'!E61)</f>
        <v/>
      </c>
      <c r="C61" s="51">
        <f>IF('Survey Data'!A61="","",'Survey Data'!B61)</f>
        <v/>
      </c>
      <c r="D61" s="51">
        <f>IF('Survey Data'!A61="","",COUNTA('Survey Data'!B61:D61,'Survey Data'!F61:AM61))</f>
        <v/>
      </c>
      <c r="E61" s="51">
        <f>IF('Survey Data'!A61="","",37)</f>
        <v/>
      </c>
      <c r="F61" s="53">
        <f>IF(OR(D61="",E61=""),"",D61/E61)</f>
        <v/>
      </c>
      <c r="G61" s="53">
        <f>IF(F61="","",F61)</f>
        <v/>
      </c>
    </row>
    <row r="62" ht="20" customHeight="1">
      <c r="A62" s="54">
        <f>IF('Survey Data'!A62="","",'Survey Data'!A62)</f>
        <v/>
      </c>
      <c r="B62" s="55">
        <f>IF('Survey Data'!A62="","",'Survey Data'!E62)</f>
        <v/>
      </c>
      <c r="C62" s="54">
        <f>IF('Survey Data'!A62="","",'Survey Data'!B62)</f>
        <v/>
      </c>
      <c r="D62" s="54">
        <f>IF('Survey Data'!A62="","",COUNTA('Survey Data'!B62:D62,'Survey Data'!F62:AM62))</f>
        <v/>
      </c>
      <c r="E62" s="54">
        <f>IF('Survey Data'!A62="","",37)</f>
        <v/>
      </c>
      <c r="F62" s="56">
        <f>IF(OR(D62="",E62=""),"",D62/E62)</f>
        <v/>
      </c>
      <c r="G62" s="56">
        <f>IF(F62="","",F62)</f>
        <v/>
      </c>
    </row>
    <row r="63" ht="20" customHeight="1">
      <c r="A63" s="51">
        <f>IF('Survey Data'!A63="","",'Survey Data'!A63)</f>
        <v/>
      </c>
      <c r="B63" s="52">
        <f>IF('Survey Data'!A63="","",'Survey Data'!E63)</f>
        <v/>
      </c>
      <c r="C63" s="51">
        <f>IF('Survey Data'!A63="","",'Survey Data'!B63)</f>
        <v/>
      </c>
      <c r="D63" s="51">
        <f>IF('Survey Data'!A63="","",COUNTA('Survey Data'!B63:D63,'Survey Data'!F63:AM63))</f>
        <v/>
      </c>
      <c r="E63" s="51">
        <f>IF('Survey Data'!A63="","",37)</f>
        <v/>
      </c>
      <c r="F63" s="53">
        <f>IF(OR(D63="",E63=""),"",D63/E63)</f>
        <v/>
      </c>
      <c r="G63" s="53">
        <f>IF(F63="","",F63)</f>
        <v/>
      </c>
    </row>
    <row r="64" ht="20" customHeight="1">
      <c r="A64" s="54">
        <f>IF('Survey Data'!A64="","",'Survey Data'!A64)</f>
        <v/>
      </c>
      <c r="B64" s="55">
        <f>IF('Survey Data'!A64="","",'Survey Data'!E64)</f>
        <v/>
      </c>
      <c r="C64" s="54">
        <f>IF('Survey Data'!A64="","",'Survey Data'!B64)</f>
        <v/>
      </c>
      <c r="D64" s="54">
        <f>IF('Survey Data'!A64="","",COUNTA('Survey Data'!B64:D64,'Survey Data'!F64:AM64))</f>
        <v/>
      </c>
      <c r="E64" s="54">
        <f>IF('Survey Data'!A64="","",37)</f>
        <v/>
      </c>
      <c r="F64" s="56">
        <f>IF(OR(D64="",E64=""),"",D64/E64)</f>
        <v/>
      </c>
      <c r="G64" s="56">
        <f>IF(F64="","",F64)</f>
        <v/>
      </c>
    </row>
    <row r="65" ht="20" customHeight="1">
      <c r="A65" s="51">
        <f>IF('Survey Data'!A65="","",'Survey Data'!A65)</f>
        <v/>
      </c>
      <c r="B65" s="52">
        <f>IF('Survey Data'!A65="","",'Survey Data'!E65)</f>
        <v/>
      </c>
      <c r="C65" s="51">
        <f>IF('Survey Data'!A65="","",'Survey Data'!B65)</f>
        <v/>
      </c>
      <c r="D65" s="51">
        <f>IF('Survey Data'!A65="","",COUNTA('Survey Data'!B65:D65,'Survey Data'!F65:AM65))</f>
        <v/>
      </c>
      <c r="E65" s="51">
        <f>IF('Survey Data'!A65="","",37)</f>
        <v/>
      </c>
      <c r="F65" s="53">
        <f>IF(OR(D65="",E65=""),"",D65/E65)</f>
        <v/>
      </c>
      <c r="G65" s="53">
        <f>IF(F65="","",F65)</f>
        <v/>
      </c>
    </row>
    <row r="66" ht="20" customHeight="1">
      <c r="A66" s="54">
        <f>IF('Survey Data'!A66="","",'Survey Data'!A66)</f>
        <v/>
      </c>
      <c r="B66" s="55">
        <f>IF('Survey Data'!A66="","",'Survey Data'!E66)</f>
        <v/>
      </c>
      <c r="C66" s="54">
        <f>IF('Survey Data'!A66="","",'Survey Data'!B66)</f>
        <v/>
      </c>
      <c r="D66" s="54">
        <f>IF('Survey Data'!A66="","",COUNTA('Survey Data'!B66:D66,'Survey Data'!F66:AM66))</f>
        <v/>
      </c>
      <c r="E66" s="54">
        <f>IF('Survey Data'!A66="","",37)</f>
        <v/>
      </c>
      <c r="F66" s="56">
        <f>IF(OR(D66="",E66=""),"",D66/E66)</f>
        <v/>
      </c>
      <c r="G66" s="56">
        <f>IF(F66="","",F66)</f>
        <v/>
      </c>
    </row>
    <row r="67" ht="20" customHeight="1">
      <c r="A67" s="51">
        <f>IF('Survey Data'!A67="","",'Survey Data'!A67)</f>
        <v/>
      </c>
      <c r="B67" s="52">
        <f>IF('Survey Data'!A67="","",'Survey Data'!E67)</f>
        <v/>
      </c>
      <c r="C67" s="51">
        <f>IF('Survey Data'!A67="","",'Survey Data'!B67)</f>
        <v/>
      </c>
      <c r="D67" s="51">
        <f>IF('Survey Data'!A67="","",COUNTA('Survey Data'!B67:D67,'Survey Data'!F67:AM67))</f>
        <v/>
      </c>
      <c r="E67" s="51">
        <f>IF('Survey Data'!A67="","",37)</f>
        <v/>
      </c>
      <c r="F67" s="53">
        <f>IF(OR(D67="",E67=""),"",D67/E67)</f>
        <v/>
      </c>
      <c r="G67" s="53">
        <f>IF(F67="","",F67)</f>
        <v/>
      </c>
    </row>
    <row r="68" ht="20" customHeight="1">
      <c r="A68" s="54">
        <f>IF('Survey Data'!A68="","",'Survey Data'!A68)</f>
        <v/>
      </c>
      <c r="B68" s="55">
        <f>IF('Survey Data'!A68="","",'Survey Data'!E68)</f>
        <v/>
      </c>
      <c r="C68" s="54">
        <f>IF('Survey Data'!A68="","",'Survey Data'!B68)</f>
        <v/>
      </c>
      <c r="D68" s="54">
        <f>IF('Survey Data'!A68="","",COUNTA('Survey Data'!B68:D68,'Survey Data'!F68:AM68))</f>
        <v/>
      </c>
      <c r="E68" s="54">
        <f>IF('Survey Data'!A68="","",37)</f>
        <v/>
      </c>
      <c r="F68" s="56">
        <f>IF(OR(D68="",E68=""),"",D68/E68)</f>
        <v/>
      </c>
      <c r="G68" s="56">
        <f>IF(F68="","",F68)</f>
        <v/>
      </c>
    </row>
    <row r="69" ht="20" customHeight="1">
      <c r="A69" s="51">
        <f>IF('Survey Data'!A69="","",'Survey Data'!A69)</f>
        <v/>
      </c>
      <c r="B69" s="52">
        <f>IF('Survey Data'!A69="","",'Survey Data'!E69)</f>
        <v/>
      </c>
      <c r="C69" s="51">
        <f>IF('Survey Data'!A69="","",'Survey Data'!B69)</f>
        <v/>
      </c>
      <c r="D69" s="51">
        <f>IF('Survey Data'!A69="","",COUNTA('Survey Data'!B69:D69,'Survey Data'!F69:AM69))</f>
        <v/>
      </c>
      <c r="E69" s="51">
        <f>IF('Survey Data'!A69="","",37)</f>
        <v/>
      </c>
      <c r="F69" s="53">
        <f>IF(OR(D69="",E69=""),"",D69/E69)</f>
        <v/>
      </c>
      <c r="G69" s="53">
        <f>IF(F69="","",F69)</f>
        <v/>
      </c>
    </row>
    <row r="70" ht="20" customHeight="1">
      <c r="A70" s="54">
        <f>IF('Survey Data'!A70="","",'Survey Data'!A70)</f>
        <v/>
      </c>
      <c r="B70" s="55">
        <f>IF('Survey Data'!A70="","",'Survey Data'!E70)</f>
        <v/>
      </c>
      <c r="C70" s="54">
        <f>IF('Survey Data'!A70="","",'Survey Data'!B70)</f>
        <v/>
      </c>
      <c r="D70" s="54">
        <f>IF('Survey Data'!A70="","",COUNTA('Survey Data'!B70:D70,'Survey Data'!F70:AM70))</f>
        <v/>
      </c>
      <c r="E70" s="54">
        <f>IF('Survey Data'!A70="","",37)</f>
        <v/>
      </c>
      <c r="F70" s="56">
        <f>IF(OR(D70="",E70=""),"",D70/E70)</f>
        <v/>
      </c>
      <c r="G70" s="56">
        <f>IF(F70="","",F70)</f>
        <v/>
      </c>
    </row>
    <row r="71" ht="20" customHeight="1">
      <c r="A71" s="51">
        <f>IF('Survey Data'!A71="","",'Survey Data'!A71)</f>
        <v/>
      </c>
      <c r="B71" s="52">
        <f>IF('Survey Data'!A71="","",'Survey Data'!E71)</f>
        <v/>
      </c>
      <c r="C71" s="51">
        <f>IF('Survey Data'!A71="","",'Survey Data'!B71)</f>
        <v/>
      </c>
      <c r="D71" s="51">
        <f>IF('Survey Data'!A71="","",COUNTA('Survey Data'!B71:D71,'Survey Data'!F71:AM71))</f>
        <v/>
      </c>
      <c r="E71" s="51">
        <f>IF('Survey Data'!A71="","",37)</f>
        <v/>
      </c>
      <c r="F71" s="53">
        <f>IF(OR(D71="",E71=""),"",D71/E71)</f>
        <v/>
      </c>
      <c r="G71" s="53">
        <f>IF(F71="","",F71)</f>
        <v/>
      </c>
    </row>
    <row r="72" ht="20" customHeight="1">
      <c r="A72" s="54">
        <f>IF('Survey Data'!A72="","",'Survey Data'!A72)</f>
        <v/>
      </c>
      <c r="B72" s="55">
        <f>IF('Survey Data'!A72="","",'Survey Data'!E72)</f>
        <v/>
      </c>
      <c r="C72" s="54">
        <f>IF('Survey Data'!A72="","",'Survey Data'!B72)</f>
        <v/>
      </c>
      <c r="D72" s="54">
        <f>IF('Survey Data'!A72="","",COUNTA('Survey Data'!B72:D72,'Survey Data'!F72:AM72))</f>
        <v/>
      </c>
      <c r="E72" s="54">
        <f>IF('Survey Data'!A72="","",37)</f>
        <v/>
      </c>
      <c r="F72" s="56">
        <f>IF(OR(D72="",E72=""),"",D72/E72)</f>
        <v/>
      </c>
      <c r="G72" s="56">
        <f>IF(F72="","",F72)</f>
        <v/>
      </c>
    </row>
    <row r="73" ht="20" customHeight="1">
      <c r="A73" s="51">
        <f>IF('Survey Data'!A73="","",'Survey Data'!A73)</f>
        <v/>
      </c>
      <c r="B73" s="52">
        <f>IF('Survey Data'!A73="","",'Survey Data'!E73)</f>
        <v/>
      </c>
      <c r="C73" s="51">
        <f>IF('Survey Data'!A73="","",'Survey Data'!B73)</f>
        <v/>
      </c>
      <c r="D73" s="51">
        <f>IF('Survey Data'!A73="","",COUNTA('Survey Data'!B73:D73,'Survey Data'!F73:AM73))</f>
        <v/>
      </c>
      <c r="E73" s="51">
        <f>IF('Survey Data'!A73="","",37)</f>
        <v/>
      </c>
      <c r="F73" s="53">
        <f>IF(OR(D73="",E73=""),"",D73/E73)</f>
        <v/>
      </c>
      <c r="G73" s="53">
        <f>IF(F73="","",F73)</f>
        <v/>
      </c>
    </row>
    <row r="74" ht="20" customHeight="1">
      <c r="A74" s="54">
        <f>IF('Survey Data'!A74="","",'Survey Data'!A74)</f>
        <v/>
      </c>
      <c r="B74" s="55">
        <f>IF('Survey Data'!A74="","",'Survey Data'!E74)</f>
        <v/>
      </c>
      <c r="C74" s="54">
        <f>IF('Survey Data'!A74="","",'Survey Data'!B74)</f>
        <v/>
      </c>
      <c r="D74" s="54">
        <f>IF('Survey Data'!A74="","",COUNTA('Survey Data'!B74:D74,'Survey Data'!F74:AM74))</f>
        <v/>
      </c>
      <c r="E74" s="54">
        <f>IF('Survey Data'!A74="","",37)</f>
        <v/>
      </c>
      <c r="F74" s="56">
        <f>IF(OR(D74="",E74=""),"",D74/E74)</f>
        <v/>
      </c>
      <c r="G74" s="56">
        <f>IF(F74="","",F74)</f>
        <v/>
      </c>
    </row>
    <row r="75" ht="20" customHeight="1">
      <c r="A75" s="51">
        <f>IF('Survey Data'!A75="","",'Survey Data'!A75)</f>
        <v/>
      </c>
      <c r="B75" s="52">
        <f>IF('Survey Data'!A75="","",'Survey Data'!E75)</f>
        <v/>
      </c>
      <c r="C75" s="51">
        <f>IF('Survey Data'!A75="","",'Survey Data'!B75)</f>
        <v/>
      </c>
      <c r="D75" s="51">
        <f>IF('Survey Data'!A75="","",COUNTA('Survey Data'!B75:D75,'Survey Data'!F75:AM75))</f>
        <v/>
      </c>
      <c r="E75" s="51">
        <f>IF('Survey Data'!A75="","",37)</f>
        <v/>
      </c>
      <c r="F75" s="53">
        <f>IF(OR(D75="",E75=""),"",D75/E75)</f>
        <v/>
      </c>
      <c r="G75" s="53">
        <f>IF(F75="","",F75)</f>
        <v/>
      </c>
    </row>
    <row r="76" ht="20" customHeight="1">
      <c r="A76" s="54">
        <f>IF('Survey Data'!A76="","",'Survey Data'!A76)</f>
        <v/>
      </c>
      <c r="B76" s="55">
        <f>IF('Survey Data'!A76="","",'Survey Data'!E76)</f>
        <v/>
      </c>
      <c r="C76" s="54">
        <f>IF('Survey Data'!A76="","",'Survey Data'!B76)</f>
        <v/>
      </c>
      <c r="D76" s="54">
        <f>IF('Survey Data'!A76="","",COUNTA('Survey Data'!B76:D76,'Survey Data'!F76:AM76))</f>
        <v/>
      </c>
      <c r="E76" s="54">
        <f>IF('Survey Data'!A76="","",37)</f>
        <v/>
      </c>
      <c r="F76" s="56">
        <f>IF(OR(D76="",E76=""),"",D76/E76)</f>
        <v/>
      </c>
      <c r="G76" s="56">
        <f>IF(F76="","",F76)</f>
        <v/>
      </c>
    </row>
    <row r="77" ht="20" customHeight="1">
      <c r="A77" s="51">
        <f>IF('Survey Data'!A77="","",'Survey Data'!A77)</f>
        <v/>
      </c>
      <c r="B77" s="52">
        <f>IF('Survey Data'!A77="","",'Survey Data'!E77)</f>
        <v/>
      </c>
      <c r="C77" s="51">
        <f>IF('Survey Data'!A77="","",'Survey Data'!B77)</f>
        <v/>
      </c>
      <c r="D77" s="51">
        <f>IF('Survey Data'!A77="","",COUNTA('Survey Data'!B77:D77,'Survey Data'!F77:AM77))</f>
        <v/>
      </c>
      <c r="E77" s="51">
        <f>IF('Survey Data'!A77="","",37)</f>
        <v/>
      </c>
      <c r="F77" s="53">
        <f>IF(OR(D77="",E77=""),"",D77/E77)</f>
        <v/>
      </c>
      <c r="G77" s="53">
        <f>IF(F77="","",F77)</f>
        <v/>
      </c>
    </row>
    <row r="78" ht="20" customHeight="1">
      <c r="A78" s="54">
        <f>IF('Survey Data'!A78="","",'Survey Data'!A78)</f>
        <v/>
      </c>
      <c r="B78" s="55">
        <f>IF('Survey Data'!A78="","",'Survey Data'!E78)</f>
        <v/>
      </c>
      <c r="C78" s="54">
        <f>IF('Survey Data'!A78="","",'Survey Data'!B78)</f>
        <v/>
      </c>
      <c r="D78" s="54">
        <f>IF('Survey Data'!A78="","",COUNTA('Survey Data'!B78:D78,'Survey Data'!F78:AM78))</f>
        <v/>
      </c>
      <c r="E78" s="54">
        <f>IF('Survey Data'!A78="","",37)</f>
        <v/>
      </c>
      <c r="F78" s="56">
        <f>IF(OR(D78="",E78=""),"",D78/E78)</f>
        <v/>
      </c>
      <c r="G78" s="56">
        <f>IF(F78="","",F78)</f>
        <v/>
      </c>
    </row>
    <row r="79" ht="20" customHeight="1">
      <c r="A79" s="51">
        <f>IF('Survey Data'!A79="","",'Survey Data'!A79)</f>
        <v/>
      </c>
      <c r="B79" s="52">
        <f>IF('Survey Data'!A79="","",'Survey Data'!E79)</f>
        <v/>
      </c>
      <c r="C79" s="51">
        <f>IF('Survey Data'!A79="","",'Survey Data'!B79)</f>
        <v/>
      </c>
      <c r="D79" s="51">
        <f>IF('Survey Data'!A79="","",COUNTA('Survey Data'!B79:D79,'Survey Data'!F79:AM79))</f>
        <v/>
      </c>
      <c r="E79" s="51">
        <f>IF('Survey Data'!A79="","",37)</f>
        <v/>
      </c>
      <c r="F79" s="53">
        <f>IF(OR(D79="",E79=""),"",D79/E79)</f>
        <v/>
      </c>
      <c r="G79" s="53">
        <f>IF(F79="","",F79)</f>
        <v/>
      </c>
    </row>
    <row r="80" ht="20" customHeight="1">
      <c r="A80" s="54">
        <f>IF('Survey Data'!A80="","",'Survey Data'!A80)</f>
        <v/>
      </c>
      <c r="B80" s="55">
        <f>IF('Survey Data'!A80="","",'Survey Data'!E80)</f>
        <v/>
      </c>
      <c r="C80" s="54">
        <f>IF('Survey Data'!A80="","",'Survey Data'!B80)</f>
        <v/>
      </c>
      <c r="D80" s="54">
        <f>IF('Survey Data'!A80="","",COUNTA('Survey Data'!B80:D80,'Survey Data'!F80:AM80))</f>
        <v/>
      </c>
      <c r="E80" s="54">
        <f>IF('Survey Data'!A80="","",37)</f>
        <v/>
      </c>
      <c r="F80" s="56">
        <f>IF(OR(D80="",E80=""),"",D80/E80)</f>
        <v/>
      </c>
      <c r="G80" s="56">
        <f>IF(F80="","",F80)</f>
        <v/>
      </c>
    </row>
    <row r="81" ht="20" customHeight="1">
      <c r="A81" s="51">
        <f>IF('Survey Data'!A81="","",'Survey Data'!A81)</f>
        <v/>
      </c>
      <c r="B81" s="52">
        <f>IF('Survey Data'!A81="","",'Survey Data'!E81)</f>
        <v/>
      </c>
      <c r="C81" s="51">
        <f>IF('Survey Data'!A81="","",'Survey Data'!B81)</f>
        <v/>
      </c>
      <c r="D81" s="51">
        <f>IF('Survey Data'!A81="","",COUNTA('Survey Data'!B81:D81,'Survey Data'!F81:AM81))</f>
        <v/>
      </c>
      <c r="E81" s="51">
        <f>IF('Survey Data'!A81="","",37)</f>
        <v/>
      </c>
      <c r="F81" s="53">
        <f>IF(OR(D81="",E81=""),"",D81/E81)</f>
        <v/>
      </c>
      <c r="G81" s="53">
        <f>IF(F81="","",F81)</f>
        <v/>
      </c>
    </row>
    <row r="82" ht="20" customHeight="1">
      <c r="A82" s="54">
        <f>IF('Survey Data'!A82="","",'Survey Data'!A82)</f>
        <v/>
      </c>
      <c r="B82" s="55">
        <f>IF('Survey Data'!A82="","",'Survey Data'!E82)</f>
        <v/>
      </c>
      <c r="C82" s="54">
        <f>IF('Survey Data'!A82="","",'Survey Data'!B82)</f>
        <v/>
      </c>
      <c r="D82" s="54">
        <f>IF('Survey Data'!A82="","",COUNTA('Survey Data'!B82:D82,'Survey Data'!F82:AM82))</f>
        <v/>
      </c>
      <c r="E82" s="54">
        <f>IF('Survey Data'!A82="","",37)</f>
        <v/>
      </c>
      <c r="F82" s="56">
        <f>IF(OR(D82="",E82=""),"",D82/E82)</f>
        <v/>
      </c>
      <c r="G82" s="56">
        <f>IF(F82="","",F82)</f>
        <v/>
      </c>
    </row>
    <row r="83" ht="20" customHeight="1">
      <c r="A83" s="51">
        <f>IF('Survey Data'!A83="","",'Survey Data'!A83)</f>
        <v/>
      </c>
      <c r="B83" s="52">
        <f>IF('Survey Data'!A83="","",'Survey Data'!E83)</f>
        <v/>
      </c>
      <c r="C83" s="51">
        <f>IF('Survey Data'!A83="","",'Survey Data'!B83)</f>
        <v/>
      </c>
      <c r="D83" s="51">
        <f>IF('Survey Data'!A83="","",COUNTA('Survey Data'!B83:D83,'Survey Data'!F83:AM83))</f>
        <v/>
      </c>
      <c r="E83" s="51">
        <f>IF('Survey Data'!A83="","",37)</f>
        <v/>
      </c>
      <c r="F83" s="53">
        <f>IF(OR(D83="",E83=""),"",D83/E83)</f>
        <v/>
      </c>
      <c r="G83" s="53">
        <f>IF(F83="","",F83)</f>
        <v/>
      </c>
    </row>
    <row r="84" ht="20" customHeight="1">
      <c r="A84" s="54">
        <f>IF('Survey Data'!A84="","",'Survey Data'!A84)</f>
        <v/>
      </c>
      <c r="B84" s="55">
        <f>IF('Survey Data'!A84="","",'Survey Data'!E84)</f>
        <v/>
      </c>
      <c r="C84" s="54">
        <f>IF('Survey Data'!A84="","",'Survey Data'!B84)</f>
        <v/>
      </c>
      <c r="D84" s="54">
        <f>IF('Survey Data'!A84="","",COUNTA('Survey Data'!B84:D84,'Survey Data'!F84:AM84))</f>
        <v/>
      </c>
      <c r="E84" s="54">
        <f>IF('Survey Data'!A84="","",37)</f>
        <v/>
      </c>
      <c r="F84" s="56">
        <f>IF(OR(D84="",E84=""),"",D84/E84)</f>
        <v/>
      </c>
      <c r="G84" s="56">
        <f>IF(F84="","",F84)</f>
        <v/>
      </c>
    </row>
  </sheetData>
  <sheetProtection selectLockedCells="0" selectUnlockedCells="0" sheet="1" objects="0" insertRows="1" insertHyperlinks="1" autoFilter="1" scenarios="0" formatColumns="1" deleteColumns="1" insertColumns="1" pivotTables="1" deleteRows="1" formatCells="1" formatRows="1" sort="1"/>
  <mergeCells count="2">
    <mergeCell ref="A2:G2"/>
    <mergeCell ref="A1:G1"/>
  </mergeCells>
  <conditionalFormatting sqref="G5:G84">
    <cfRule type="dataBar" priority="1">
      <dataBar showValue="1">
        <cfvo type="num" val="0"/>
        <cfvo type="num" val="1"/>
        <color rgb="00F59E0B"/>
      </dataBar>
    </cfRule>
  </conditionalFormatting>
  <conditionalFormatting sqref="F5:F84">
    <cfRule type="dataBar" priority="2">
      <dataBar showValue="1">
        <cfvo type="num" val="0"/>
        <cfvo type="num" val="1"/>
        <color rgb="003B82F6"/>
      </dataBar>
    </cfRule>
  </conditionalFormatting>
  <pageMargins left="0.5" right="0.5" top="0.6" bottom="0.5" header="0.5" footer="0.5"/>
  <pageSetup orientation="landscape" fitToHeight="0" fitToWidth="1"/>
</worksheet>
</file>

<file path=xl/worksheets/sheet4.xml><?xml version="1.0" encoding="utf-8"?>
<worksheet xmlns="http://schemas.openxmlformats.org/spreadsheetml/2006/main">
  <sheetPr>
    <tabColor rgb="003B82F6"/>
    <outlinePr summaryBelow="1" summaryRight="1"/>
    <pageSetUpPr fitToPage="1"/>
  </sheetPr>
  <dimension ref="A1:F90"/>
  <sheetViews>
    <sheetView showGridLines="0" workbookViewId="0">
      <pane ySplit="3" topLeftCell="A4" activePane="bottomLeft" state="frozen"/>
      <selection pane="bottomLeft" activeCell="A1" sqref="A1"/>
    </sheetView>
  </sheetViews>
  <sheetFormatPr baseColWidth="8" defaultRowHeight="15"/>
  <cols>
    <col width="10" customWidth="1" min="1" max="1"/>
    <col width="34" customWidth="1" min="2" max="2"/>
    <col width="14" customWidth="1" min="3" max="3"/>
    <col width="18" customWidth="1" min="4" max="4"/>
    <col width="36" customWidth="1" min="5" max="5"/>
    <col width="16" customWidth="1" min="6" max="6"/>
  </cols>
  <sheetData>
    <row r="1" ht="32" customHeight="1">
      <c r="A1" s="1" t="inlineStr">
        <is>
          <t>Survey Actions (documentation + optional tracker)</t>
        </is>
      </c>
    </row>
    <row r="2" ht="22" customHeight="1">
      <c r="A2" s="2" t="inlineStr">
        <is>
          <t>Excel cannot host real web buttons without VBA. The Next.js admin app should render Demand Notice, Print, View, Edit and Delete as UI buttons. This sheet is an auxiliary tracker only — it does not change the 37-column Survey Data schema.</t>
        </is>
      </c>
    </row>
    <row r="3">
      <c r="A3" s="57" t="inlineStr">
        <is>
          <t>Application actions (implement in Next.js, not in this workbook)</t>
        </is>
      </c>
    </row>
    <row r="4" ht="18" customHeight="1">
      <c r="A4" s="58" t="inlineStr">
        <is>
          <t>Demand Notice — generate / print the municipal demand notice for the selected property (web app).</t>
        </is>
      </c>
    </row>
    <row r="5" ht="18" customHeight="1">
      <c r="A5" s="58" t="inlineStr">
        <is>
          <t>Print — print the survey summary or notice pack (web app).</t>
        </is>
      </c>
    </row>
    <row r="6" ht="18" customHeight="1">
      <c r="A6" s="58" t="inlineStr">
        <is>
          <t>View — open the read-only survey record (web app).</t>
        </is>
      </c>
    </row>
    <row r="7" ht="18" customHeight="1">
      <c r="A7" s="58" t="inlineStr">
        <is>
          <t>Edit — open the survey editor with Clerk-authenticated permissions (web app).</t>
        </is>
      </c>
    </row>
    <row r="8" ht="18" customHeight="1">
      <c r="A8" s="58" t="inlineStr">
        <is>
          <t>Delete — soft-delete the survey in Postgres (web app; never delete rows here to stay import-safe).</t>
        </is>
      </c>
    </row>
    <row r="10" ht="28" customHeight="1">
      <c r="A10" s="50" t="inlineStr">
        <is>
          <t>SN</t>
        </is>
      </c>
      <c r="B10" s="50" t="inlineStr">
        <is>
          <t>Property Id</t>
        </is>
      </c>
      <c r="C10" s="50" t="inlineStr">
        <is>
          <t>Status</t>
        </is>
      </c>
      <c r="D10" s="50" t="inlineStr">
        <is>
          <t>Suggested Action</t>
        </is>
      </c>
      <c r="E10" s="50" t="inlineStr">
        <is>
          <t>Operator Notes</t>
        </is>
      </c>
      <c r="F10" s="50" t="inlineStr">
        <is>
          <t>Implemented in</t>
        </is>
      </c>
    </row>
    <row r="11" ht="20" customHeight="1">
      <c r="A11" s="59">
        <f>IF('Survey Data'!A5="","",'Survey Data'!A5)</f>
        <v/>
      </c>
      <c r="B11" s="59">
        <f>IF('Survey Data'!A5="","",'Survey Data'!E5)</f>
        <v/>
      </c>
      <c r="C11" s="59">
        <f>IF('Survey Data'!A5="","",'Survey Data'!B5)</f>
        <v/>
      </c>
      <c r="D11" s="60" t="inlineStr">
        <is>
          <t>View</t>
        </is>
      </c>
      <c r="E11" s="61" t="inlineStr"/>
      <c r="F11" s="59">
        <f>IF('Survey Data'!A5="","","Next.js UI")</f>
        <v/>
      </c>
    </row>
    <row r="12" ht="20" customHeight="1">
      <c r="A12" s="62">
        <f>IF('Survey Data'!A6="","",'Survey Data'!A6)</f>
        <v/>
      </c>
      <c r="B12" s="62">
        <f>IF('Survey Data'!A6="","",'Survey Data'!E6)</f>
        <v/>
      </c>
      <c r="C12" s="62">
        <f>IF('Survey Data'!A6="","",'Survey Data'!B6)</f>
        <v/>
      </c>
      <c r="D12" s="63" t="inlineStr">
        <is>
          <t>Edit</t>
        </is>
      </c>
      <c r="E12" s="64" t="inlineStr"/>
      <c r="F12" s="62">
        <f>IF('Survey Data'!A6="","","Next.js UI")</f>
        <v/>
      </c>
    </row>
    <row r="13" ht="20" customHeight="1">
      <c r="A13" s="59">
        <f>IF('Survey Data'!A7="","",'Survey Data'!A7)</f>
        <v/>
      </c>
      <c r="B13" s="59">
        <f>IF('Survey Data'!A7="","",'Survey Data'!E7)</f>
        <v/>
      </c>
      <c r="C13" s="59">
        <f>IF('Survey Data'!A7="","",'Survey Data'!B7)</f>
        <v/>
      </c>
      <c r="D13" s="60" t="inlineStr">
        <is>
          <t>Demand Notice</t>
        </is>
      </c>
      <c r="E13" s="61" t="inlineStr"/>
      <c r="F13" s="59">
        <f>IF('Survey Data'!A7="","","Next.js UI")</f>
        <v/>
      </c>
    </row>
    <row r="14" ht="20" customHeight="1">
      <c r="A14" s="62">
        <f>IF('Survey Data'!A8="","",'Survey Data'!A8)</f>
        <v/>
      </c>
      <c r="B14" s="62">
        <f>IF('Survey Data'!A8="","",'Survey Data'!E8)</f>
        <v/>
      </c>
      <c r="C14" s="62">
        <f>IF('Survey Data'!A8="","",'Survey Data'!B8)</f>
        <v/>
      </c>
      <c r="D14" s="63" t="inlineStr">
        <is>
          <t>Print</t>
        </is>
      </c>
      <c r="E14" s="64" t="inlineStr"/>
      <c r="F14" s="62">
        <f>IF('Survey Data'!A8="","","Next.js UI")</f>
        <v/>
      </c>
    </row>
    <row r="15" ht="20" customHeight="1">
      <c r="A15" s="59">
        <f>IF('Survey Data'!A9="","",'Survey Data'!A9)</f>
        <v/>
      </c>
      <c r="B15" s="59">
        <f>IF('Survey Data'!A9="","",'Survey Data'!E9)</f>
        <v/>
      </c>
      <c r="C15" s="59">
        <f>IF('Survey Data'!A9="","",'Survey Data'!B9)</f>
        <v/>
      </c>
      <c r="D15" s="60" t="inlineStr">
        <is>
          <t>View</t>
        </is>
      </c>
      <c r="E15" s="61" t="inlineStr"/>
      <c r="F15" s="59">
        <f>IF('Survey Data'!A9="","","Next.js UI")</f>
        <v/>
      </c>
    </row>
    <row r="16" ht="20" customHeight="1">
      <c r="A16" s="62">
        <f>IF('Survey Data'!A10="","",'Survey Data'!A10)</f>
        <v/>
      </c>
      <c r="B16" s="62">
        <f>IF('Survey Data'!A10="","",'Survey Data'!E10)</f>
        <v/>
      </c>
      <c r="C16" s="62">
        <f>IF('Survey Data'!A10="","",'Survey Data'!B10)</f>
        <v/>
      </c>
      <c r="D16" s="63" t="inlineStr">
        <is>
          <t>Edit</t>
        </is>
      </c>
      <c r="E16" s="64" t="inlineStr"/>
      <c r="F16" s="62">
        <f>IF('Survey Data'!A10="","","Next.js UI")</f>
        <v/>
      </c>
    </row>
    <row r="17" ht="20" customHeight="1">
      <c r="A17" s="59">
        <f>IF('Survey Data'!A11="","",'Survey Data'!A11)</f>
        <v/>
      </c>
      <c r="B17" s="59">
        <f>IF('Survey Data'!A11="","",'Survey Data'!E11)</f>
        <v/>
      </c>
      <c r="C17" s="59">
        <f>IF('Survey Data'!A11="","",'Survey Data'!B11)</f>
        <v/>
      </c>
      <c r="D17" s="60" t="inlineStr">
        <is>
          <t>View</t>
        </is>
      </c>
      <c r="E17" s="61" t="inlineStr"/>
      <c r="F17" s="59">
        <f>IF('Survey Data'!A11="","","Next.js UI")</f>
        <v/>
      </c>
    </row>
    <row r="18" ht="20" customHeight="1">
      <c r="A18" s="62">
        <f>IF('Survey Data'!A12="","",'Survey Data'!A12)</f>
        <v/>
      </c>
      <c r="B18" s="62">
        <f>IF('Survey Data'!A12="","",'Survey Data'!E12)</f>
        <v/>
      </c>
      <c r="C18" s="62">
        <f>IF('Survey Data'!A12="","",'Survey Data'!B12)</f>
        <v/>
      </c>
      <c r="D18" s="63" t="inlineStr">
        <is>
          <t>Demand Notice</t>
        </is>
      </c>
      <c r="E18" s="64" t="inlineStr"/>
      <c r="F18" s="62">
        <f>IF('Survey Data'!A12="","","Next.js UI")</f>
        <v/>
      </c>
    </row>
    <row r="19" ht="20" customHeight="1">
      <c r="A19" s="59">
        <f>IF('Survey Data'!A13="","",'Survey Data'!A13)</f>
        <v/>
      </c>
      <c r="B19" s="59">
        <f>IF('Survey Data'!A13="","",'Survey Data'!E13)</f>
        <v/>
      </c>
      <c r="C19" s="59">
        <f>IF('Survey Data'!A13="","",'Survey Data'!B13)</f>
        <v/>
      </c>
      <c r="D19" s="60" t="inlineStr">
        <is>
          <t>View</t>
        </is>
      </c>
      <c r="E19" s="61" t="inlineStr"/>
      <c r="F19" s="59">
        <f>IF('Survey Data'!A13="","","Next.js UI")</f>
        <v/>
      </c>
    </row>
    <row r="20" ht="20" customHeight="1">
      <c r="A20" s="62">
        <f>IF('Survey Data'!A14="","",'Survey Data'!A14)</f>
        <v/>
      </c>
      <c r="B20" s="62">
        <f>IF('Survey Data'!A14="","",'Survey Data'!E14)</f>
        <v/>
      </c>
      <c r="C20" s="62">
        <f>IF('Survey Data'!A14="","",'Survey Data'!B14)</f>
        <v/>
      </c>
      <c r="D20" s="63" t="inlineStr">
        <is>
          <t>Edit</t>
        </is>
      </c>
      <c r="E20" s="64" t="inlineStr"/>
      <c r="F20" s="62">
        <f>IF('Survey Data'!A14="","","Next.js UI")</f>
        <v/>
      </c>
    </row>
    <row r="21" ht="20" customHeight="1">
      <c r="A21" s="59">
        <f>IF('Survey Data'!A15="","",'Survey Data'!A15)</f>
        <v/>
      </c>
      <c r="B21" s="59">
        <f>IF('Survey Data'!A15="","",'Survey Data'!E15)</f>
        <v/>
      </c>
      <c r="C21" s="59">
        <f>IF('Survey Data'!A15="","",'Survey Data'!B15)</f>
        <v/>
      </c>
      <c r="D21" s="60" t="n"/>
      <c r="E21" s="61" t="inlineStr"/>
      <c r="F21" s="59">
        <f>IF('Survey Data'!A15="","","Next.js UI")</f>
        <v/>
      </c>
    </row>
    <row r="22" ht="20" customHeight="1">
      <c r="A22" s="62">
        <f>IF('Survey Data'!A16="","",'Survey Data'!A16)</f>
        <v/>
      </c>
      <c r="B22" s="62">
        <f>IF('Survey Data'!A16="","",'Survey Data'!E16)</f>
        <v/>
      </c>
      <c r="C22" s="62">
        <f>IF('Survey Data'!A16="","",'Survey Data'!B16)</f>
        <v/>
      </c>
      <c r="D22" s="63" t="n"/>
      <c r="E22" s="64" t="inlineStr"/>
      <c r="F22" s="62">
        <f>IF('Survey Data'!A16="","","Next.js UI")</f>
        <v/>
      </c>
    </row>
    <row r="23" ht="20" customHeight="1">
      <c r="A23" s="59">
        <f>IF('Survey Data'!A17="","",'Survey Data'!A17)</f>
        <v/>
      </c>
      <c r="B23" s="59">
        <f>IF('Survey Data'!A17="","",'Survey Data'!E17)</f>
        <v/>
      </c>
      <c r="C23" s="59">
        <f>IF('Survey Data'!A17="","",'Survey Data'!B17)</f>
        <v/>
      </c>
      <c r="D23" s="60" t="n"/>
      <c r="E23" s="61" t="inlineStr"/>
      <c r="F23" s="59">
        <f>IF('Survey Data'!A17="","","Next.js UI")</f>
        <v/>
      </c>
    </row>
    <row r="24" ht="20" customHeight="1">
      <c r="A24" s="62">
        <f>IF('Survey Data'!A18="","",'Survey Data'!A18)</f>
        <v/>
      </c>
      <c r="B24" s="62">
        <f>IF('Survey Data'!A18="","",'Survey Data'!E18)</f>
        <v/>
      </c>
      <c r="C24" s="62">
        <f>IF('Survey Data'!A18="","",'Survey Data'!B18)</f>
        <v/>
      </c>
      <c r="D24" s="63" t="n"/>
      <c r="E24" s="64" t="inlineStr"/>
      <c r="F24" s="62">
        <f>IF('Survey Data'!A18="","","Next.js UI")</f>
        <v/>
      </c>
    </row>
    <row r="25" ht="20" customHeight="1">
      <c r="A25" s="59">
        <f>IF('Survey Data'!A19="","",'Survey Data'!A19)</f>
        <v/>
      </c>
      <c r="B25" s="59">
        <f>IF('Survey Data'!A19="","",'Survey Data'!E19)</f>
        <v/>
      </c>
      <c r="C25" s="59">
        <f>IF('Survey Data'!A19="","",'Survey Data'!B19)</f>
        <v/>
      </c>
      <c r="D25" s="60" t="n"/>
      <c r="E25" s="61" t="inlineStr"/>
      <c r="F25" s="59">
        <f>IF('Survey Data'!A19="","","Next.js UI")</f>
        <v/>
      </c>
    </row>
    <row r="26" ht="20" customHeight="1">
      <c r="A26" s="62">
        <f>IF('Survey Data'!A20="","",'Survey Data'!A20)</f>
        <v/>
      </c>
      <c r="B26" s="62">
        <f>IF('Survey Data'!A20="","",'Survey Data'!E20)</f>
        <v/>
      </c>
      <c r="C26" s="62">
        <f>IF('Survey Data'!A20="","",'Survey Data'!B20)</f>
        <v/>
      </c>
      <c r="D26" s="63" t="n"/>
      <c r="E26" s="64" t="inlineStr"/>
      <c r="F26" s="62">
        <f>IF('Survey Data'!A20="","","Next.js UI")</f>
        <v/>
      </c>
    </row>
    <row r="27" ht="20" customHeight="1">
      <c r="A27" s="59">
        <f>IF('Survey Data'!A21="","",'Survey Data'!A21)</f>
        <v/>
      </c>
      <c r="B27" s="59">
        <f>IF('Survey Data'!A21="","",'Survey Data'!E21)</f>
        <v/>
      </c>
      <c r="C27" s="59">
        <f>IF('Survey Data'!A21="","",'Survey Data'!B21)</f>
        <v/>
      </c>
      <c r="D27" s="60" t="n"/>
      <c r="E27" s="61" t="inlineStr"/>
      <c r="F27" s="59">
        <f>IF('Survey Data'!A21="","","Next.js UI")</f>
        <v/>
      </c>
    </row>
    <row r="28" ht="20" customHeight="1">
      <c r="A28" s="62">
        <f>IF('Survey Data'!A22="","",'Survey Data'!A22)</f>
        <v/>
      </c>
      <c r="B28" s="62">
        <f>IF('Survey Data'!A22="","",'Survey Data'!E22)</f>
        <v/>
      </c>
      <c r="C28" s="62">
        <f>IF('Survey Data'!A22="","",'Survey Data'!B22)</f>
        <v/>
      </c>
      <c r="D28" s="63" t="n"/>
      <c r="E28" s="64" t="inlineStr"/>
      <c r="F28" s="62">
        <f>IF('Survey Data'!A22="","","Next.js UI")</f>
        <v/>
      </c>
    </row>
    <row r="29" ht="20" customHeight="1">
      <c r="A29" s="59">
        <f>IF('Survey Data'!A23="","",'Survey Data'!A23)</f>
        <v/>
      </c>
      <c r="B29" s="59">
        <f>IF('Survey Data'!A23="","",'Survey Data'!E23)</f>
        <v/>
      </c>
      <c r="C29" s="59">
        <f>IF('Survey Data'!A23="","",'Survey Data'!B23)</f>
        <v/>
      </c>
      <c r="D29" s="60" t="n"/>
      <c r="E29" s="61" t="inlineStr"/>
      <c r="F29" s="59">
        <f>IF('Survey Data'!A23="","","Next.js UI")</f>
        <v/>
      </c>
    </row>
    <row r="30" ht="20" customHeight="1">
      <c r="A30" s="62">
        <f>IF('Survey Data'!A24="","",'Survey Data'!A24)</f>
        <v/>
      </c>
      <c r="B30" s="62">
        <f>IF('Survey Data'!A24="","",'Survey Data'!E24)</f>
        <v/>
      </c>
      <c r="C30" s="62">
        <f>IF('Survey Data'!A24="","",'Survey Data'!B24)</f>
        <v/>
      </c>
      <c r="D30" s="63" t="n"/>
      <c r="E30" s="64" t="inlineStr"/>
      <c r="F30" s="62">
        <f>IF('Survey Data'!A24="","","Next.js UI")</f>
        <v/>
      </c>
    </row>
    <row r="31" ht="20" customHeight="1">
      <c r="A31" s="59">
        <f>IF('Survey Data'!A25="","",'Survey Data'!A25)</f>
        <v/>
      </c>
      <c r="B31" s="59">
        <f>IF('Survey Data'!A25="","",'Survey Data'!E25)</f>
        <v/>
      </c>
      <c r="C31" s="59">
        <f>IF('Survey Data'!A25="","",'Survey Data'!B25)</f>
        <v/>
      </c>
      <c r="D31" s="60" t="n"/>
      <c r="E31" s="61" t="inlineStr"/>
      <c r="F31" s="59">
        <f>IF('Survey Data'!A25="","","Next.js UI")</f>
        <v/>
      </c>
    </row>
    <row r="32" ht="20" customHeight="1">
      <c r="A32" s="62">
        <f>IF('Survey Data'!A26="","",'Survey Data'!A26)</f>
        <v/>
      </c>
      <c r="B32" s="62">
        <f>IF('Survey Data'!A26="","",'Survey Data'!E26)</f>
        <v/>
      </c>
      <c r="C32" s="62">
        <f>IF('Survey Data'!A26="","",'Survey Data'!B26)</f>
        <v/>
      </c>
      <c r="D32" s="63" t="n"/>
      <c r="E32" s="64" t="inlineStr"/>
      <c r="F32" s="62">
        <f>IF('Survey Data'!A26="","","Next.js UI")</f>
        <v/>
      </c>
    </row>
    <row r="33" ht="20" customHeight="1">
      <c r="A33" s="59">
        <f>IF('Survey Data'!A27="","",'Survey Data'!A27)</f>
        <v/>
      </c>
      <c r="B33" s="59">
        <f>IF('Survey Data'!A27="","",'Survey Data'!E27)</f>
        <v/>
      </c>
      <c r="C33" s="59">
        <f>IF('Survey Data'!A27="","",'Survey Data'!B27)</f>
        <v/>
      </c>
      <c r="D33" s="60" t="n"/>
      <c r="E33" s="61" t="inlineStr"/>
      <c r="F33" s="59">
        <f>IF('Survey Data'!A27="","","Next.js UI")</f>
        <v/>
      </c>
    </row>
    <row r="34" ht="20" customHeight="1">
      <c r="A34" s="62">
        <f>IF('Survey Data'!A28="","",'Survey Data'!A28)</f>
        <v/>
      </c>
      <c r="B34" s="62">
        <f>IF('Survey Data'!A28="","",'Survey Data'!E28)</f>
        <v/>
      </c>
      <c r="C34" s="62">
        <f>IF('Survey Data'!A28="","",'Survey Data'!B28)</f>
        <v/>
      </c>
      <c r="D34" s="63" t="n"/>
      <c r="E34" s="64" t="inlineStr"/>
      <c r="F34" s="62">
        <f>IF('Survey Data'!A28="","","Next.js UI")</f>
        <v/>
      </c>
    </row>
    <row r="35" ht="20" customHeight="1">
      <c r="A35" s="59">
        <f>IF('Survey Data'!A29="","",'Survey Data'!A29)</f>
        <v/>
      </c>
      <c r="B35" s="59">
        <f>IF('Survey Data'!A29="","",'Survey Data'!E29)</f>
        <v/>
      </c>
      <c r="C35" s="59">
        <f>IF('Survey Data'!A29="","",'Survey Data'!B29)</f>
        <v/>
      </c>
      <c r="D35" s="60" t="n"/>
      <c r="E35" s="61" t="inlineStr"/>
      <c r="F35" s="59">
        <f>IF('Survey Data'!A29="","","Next.js UI")</f>
        <v/>
      </c>
    </row>
    <row r="36" ht="20" customHeight="1">
      <c r="A36" s="62">
        <f>IF('Survey Data'!A30="","",'Survey Data'!A30)</f>
        <v/>
      </c>
      <c r="B36" s="62">
        <f>IF('Survey Data'!A30="","",'Survey Data'!E30)</f>
        <v/>
      </c>
      <c r="C36" s="62">
        <f>IF('Survey Data'!A30="","",'Survey Data'!B30)</f>
        <v/>
      </c>
      <c r="D36" s="63" t="n"/>
      <c r="E36" s="64" t="inlineStr"/>
      <c r="F36" s="62">
        <f>IF('Survey Data'!A30="","","Next.js UI")</f>
        <v/>
      </c>
    </row>
    <row r="37" ht="20" customHeight="1">
      <c r="A37" s="59">
        <f>IF('Survey Data'!A31="","",'Survey Data'!A31)</f>
        <v/>
      </c>
      <c r="B37" s="59">
        <f>IF('Survey Data'!A31="","",'Survey Data'!E31)</f>
        <v/>
      </c>
      <c r="C37" s="59">
        <f>IF('Survey Data'!A31="","",'Survey Data'!B31)</f>
        <v/>
      </c>
      <c r="D37" s="60" t="n"/>
      <c r="E37" s="61" t="inlineStr"/>
      <c r="F37" s="59">
        <f>IF('Survey Data'!A31="","","Next.js UI")</f>
        <v/>
      </c>
    </row>
    <row r="38" ht="20" customHeight="1">
      <c r="A38" s="62">
        <f>IF('Survey Data'!A32="","",'Survey Data'!A32)</f>
        <v/>
      </c>
      <c r="B38" s="62">
        <f>IF('Survey Data'!A32="","",'Survey Data'!E32)</f>
        <v/>
      </c>
      <c r="C38" s="62">
        <f>IF('Survey Data'!A32="","",'Survey Data'!B32)</f>
        <v/>
      </c>
      <c r="D38" s="63" t="n"/>
      <c r="E38" s="64" t="inlineStr"/>
      <c r="F38" s="62">
        <f>IF('Survey Data'!A32="","","Next.js UI")</f>
        <v/>
      </c>
    </row>
    <row r="39" ht="20" customHeight="1">
      <c r="A39" s="59">
        <f>IF('Survey Data'!A33="","",'Survey Data'!A33)</f>
        <v/>
      </c>
      <c r="B39" s="59">
        <f>IF('Survey Data'!A33="","",'Survey Data'!E33)</f>
        <v/>
      </c>
      <c r="C39" s="59">
        <f>IF('Survey Data'!A33="","",'Survey Data'!B33)</f>
        <v/>
      </c>
      <c r="D39" s="60" t="n"/>
      <c r="E39" s="61" t="inlineStr"/>
      <c r="F39" s="59">
        <f>IF('Survey Data'!A33="","","Next.js UI")</f>
        <v/>
      </c>
    </row>
    <row r="40" ht="20" customHeight="1">
      <c r="A40" s="62">
        <f>IF('Survey Data'!A34="","",'Survey Data'!A34)</f>
        <v/>
      </c>
      <c r="B40" s="62">
        <f>IF('Survey Data'!A34="","",'Survey Data'!E34)</f>
        <v/>
      </c>
      <c r="C40" s="62">
        <f>IF('Survey Data'!A34="","",'Survey Data'!B34)</f>
        <v/>
      </c>
      <c r="D40" s="63" t="n"/>
      <c r="E40" s="64" t="inlineStr"/>
      <c r="F40" s="62">
        <f>IF('Survey Data'!A34="","","Next.js UI")</f>
        <v/>
      </c>
    </row>
    <row r="41" ht="20" customHeight="1">
      <c r="A41" s="59">
        <f>IF('Survey Data'!A35="","",'Survey Data'!A35)</f>
        <v/>
      </c>
      <c r="B41" s="59">
        <f>IF('Survey Data'!A35="","",'Survey Data'!E35)</f>
        <v/>
      </c>
      <c r="C41" s="59">
        <f>IF('Survey Data'!A35="","",'Survey Data'!B35)</f>
        <v/>
      </c>
      <c r="D41" s="60" t="n"/>
      <c r="E41" s="61" t="inlineStr"/>
      <c r="F41" s="59">
        <f>IF('Survey Data'!A35="","","Next.js UI")</f>
        <v/>
      </c>
    </row>
    <row r="42" ht="20" customHeight="1">
      <c r="A42" s="62">
        <f>IF('Survey Data'!A36="","",'Survey Data'!A36)</f>
        <v/>
      </c>
      <c r="B42" s="62">
        <f>IF('Survey Data'!A36="","",'Survey Data'!E36)</f>
        <v/>
      </c>
      <c r="C42" s="62">
        <f>IF('Survey Data'!A36="","",'Survey Data'!B36)</f>
        <v/>
      </c>
      <c r="D42" s="63" t="n"/>
      <c r="E42" s="64" t="inlineStr"/>
      <c r="F42" s="62">
        <f>IF('Survey Data'!A36="","","Next.js UI")</f>
        <v/>
      </c>
    </row>
    <row r="43" ht="20" customHeight="1">
      <c r="A43" s="59">
        <f>IF('Survey Data'!A37="","",'Survey Data'!A37)</f>
        <v/>
      </c>
      <c r="B43" s="59">
        <f>IF('Survey Data'!A37="","",'Survey Data'!E37)</f>
        <v/>
      </c>
      <c r="C43" s="59">
        <f>IF('Survey Data'!A37="","",'Survey Data'!B37)</f>
        <v/>
      </c>
      <c r="D43" s="60" t="n"/>
      <c r="E43" s="61" t="inlineStr"/>
      <c r="F43" s="59">
        <f>IF('Survey Data'!A37="","","Next.js UI")</f>
        <v/>
      </c>
    </row>
    <row r="44" ht="20" customHeight="1">
      <c r="A44" s="62">
        <f>IF('Survey Data'!A38="","",'Survey Data'!A38)</f>
        <v/>
      </c>
      <c r="B44" s="62">
        <f>IF('Survey Data'!A38="","",'Survey Data'!E38)</f>
        <v/>
      </c>
      <c r="C44" s="62">
        <f>IF('Survey Data'!A38="","",'Survey Data'!B38)</f>
        <v/>
      </c>
      <c r="D44" s="63" t="n"/>
      <c r="E44" s="64" t="inlineStr"/>
      <c r="F44" s="62">
        <f>IF('Survey Data'!A38="","","Next.js UI")</f>
        <v/>
      </c>
    </row>
    <row r="45" ht="20" customHeight="1">
      <c r="A45" s="59">
        <f>IF('Survey Data'!A39="","",'Survey Data'!A39)</f>
        <v/>
      </c>
      <c r="B45" s="59">
        <f>IF('Survey Data'!A39="","",'Survey Data'!E39)</f>
        <v/>
      </c>
      <c r="C45" s="59">
        <f>IF('Survey Data'!A39="","",'Survey Data'!B39)</f>
        <v/>
      </c>
      <c r="D45" s="60" t="n"/>
      <c r="E45" s="61" t="inlineStr"/>
      <c r="F45" s="59">
        <f>IF('Survey Data'!A39="","","Next.js UI")</f>
        <v/>
      </c>
    </row>
    <row r="46" ht="20" customHeight="1">
      <c r="A46" s="62">
        <f>IF('Survey Data'!A40="","",'Survey Data'!A40)</f>
        <v/>
      </c>
      <c r="B46" s="62">
        <f>IF('Survey Data'!A40="","",'Survey Data'!E40)</f>
        <v/>
      </c>
      <c r="C46" s="62">
        <f>IF('Survey Data'!A40="","",'Survey Data'!B40)</f>
        <v/>
      </c>
      <c r="D46" s="63" t="n"/>
      <c r="E46" s="64" t="inlineStr"/>
      <c r="F46" s="62">
        <f>IF('Survey Data'!A40="","","Next.js UI")</f>
        <v/>
      </c>
    </row>
    <row r="47" ht="20" customHeight="1">
      <c r="A47" s="59">
        <f>IF('Survey Data'!A41="","",'Survey Data'!A41)</f>
        <v/>
      </c>
      <c r="B47" s="59">
        <f>IF('Survey Data'!A41="","",'Survey Data'!E41)</f>
        <v/>
      </c>
      <c r="C47" s="59">
        <f>IF('Survey Data'!A41="","",'Survey Data'!B41)</f>
        <v/>
      </c>
      <c r="D47" s="60" t="n"/>
      <c r="E47" s="61" t="inlineStr"/>
      <c r="F47" s="59">
        <f>IF('Survey Data'!A41="","","Next.js UI")</f>
        <v/>
      </c>
    </row>
    <row r="48" ht="20" customHeight="1">
      <c r="A48" s="62">
        <f>IF('Survey Data'!A42="","",'Survey Data'!A42)</f>
        <v/>
      </c>
      <c r="B48" s="62">
        <f>IF('Survey Data'!A42="","",'Survey Data'!E42)</f>
        <v/>
      </c>
      <c r="C48" s="62">
        <f>IF('Survey Data'!A42="","",'Survey Data'!B42)</f>
        <v/>
      </c>
      <c r="D48" s="63" t="n"/>
      <c r="E48" s="64" t="inlineStr"/>
      <c r="F48" s="62">
        <f>IF('Survey Data'!A42="","","Next.js UI")</f>
        <v/>
      </c>
    </row>
    <row r="49" ht="20" customHeight="1">
      <c r="A49" s="59">
        <f>IF('Survey Data'!A43="","",'Survey Data'!A43)</f>
        <v/>
      </c>
      <c r="B49" s="59">
        <f>IF('Survey Data'!A43="","",'Survey Data'!E43)</f>
        <v/>
      </c>
      <c r="C49" s="59">
        <f>IF('Survey Data'!A43="","",'Survey Data'!B43)</f>
        <v/>
      </c>
      <c r="D49" s="60" t="n"/>
      <c r="E49" s="61" t="inlineStr"/>
      <c r="F49" s="59">
        <f>IF('Survey Data'!A43="","","Next.js UI")</f>
        <v/>
      </c>
    </row>
    <row r="50" ht="20" customHeight="1">
      <c r="A50" s="62">
        <f>IF('Survey Data'!A44="","",'Survey Data'!A44)</f>
        <v/>
      </c>
      <c r="B50" s="62">
        <f>IF('Survey Data'!A44="","",'Survey Data'!E44)</f>
        <v/>
      </c>
      <c r="C50" s="62">
        <f>IF('Survey Data'!A44="","",'Survey Data'!B44)</f>
        <v/>
      </c>
      <c r="D50" s="63" t="n"/>
      <c r="E50" s="64" t="inlineStr"/>
      <c r="F50" s="62">
        <f>IF('Survey Data'!A44="","","Next.js UI")</f>
        <v/>
      </c>
    </row>
    <row r="51" ht="20" customHeight="1">
      <c r="A51" s="59">
        <f>IF('Survey Data'!A45="","",'Survey Data'!A45)</f>
        <v/>
      </c>
      <c r="B51" s="59">
        <f>IF('Survey Data'!A45="","",'Survey Data'!E45)</f>
        <v/>
      </c>
      <c r="C51" s="59">
        <f>IF('Survey Data'!A45="","",'Survey Data'!B45)</f>
        <v/>
      </c>
      <c r="D51" s="60" t="n"/>
      <c r="E51" s="61" t="inlineStr"/>
      <c r="F51" s="59">
        <f>IF('Survey Data'!A45="","","Next.js UI")</f>
        <v/>
      </c>
    </row>
    <row r="52" ht="20" customHeight="1">
      <c r="A52" s="62">
        <f>IF('Survey Data'!A46="","",'Survey Data'!A46)</f>
        <v/>
      </c>
      <c r="B52" s="62">
        <f>IF('Survey Data'!A46="","",'Survey Data'!E46)</f>
        <v/>
      </c>
      <c r="C52" s="62">
        <f>IF('Survey Data'!A46="","",'Survey Data'!B46)</f>
        <v/>
      </c>
      <c r="D52" s="63" t="n"/>
      <c r="E52" s="64" t="inlineStr"/>
      <c r="F52" s="62">
        <f>IF('Survey Data'!A46="","","Next.js UI")</f>
        <v/>
      </c>
    </row>
    <row r="53" ht="20" customHeight="1">
      <c r="A53" s="59">
        <f>IF('Survey Data'!A47="","",'Survey Data'!A47)</f>
        <v/>
      </c>
      <c r="B53" s="59">
        <f>IF('Survey Data'!A47="","",'Survey Data'!E47)</f>
        <v/>
      </c>
      <c r="C53" s="59">
        <f>IF('Survey Data'!A47="","",'Survey Data'!B47)</f>
        <v/>
      </c>
      <c r="D53" s="60" t="n"/>
      <c r="E53" s="61" t="inlineStr"/>
      <c r="F53" s="59">
        <f>IF('Survey Data'!A47="","","Next.js UI")</f>
        <v/>
      </c>
    </row>
    <row r="54" ht="20" customHeight="1">
      <c r="A54" s="62">
        <f>IF('Survey Data'!A48="","",'Survey Data'!A48)</f>
        <v/>
      </c>
      <c r="B54" s="62">
        <f>IF('Survey Data'!A48="","",'Survey Data'!E48)</f>
        <v/>
      </c>
      <c r="C54" s="62">
        <f>IF('Survey Data'!A48="","",'Survey Data'!B48)</f>
        <v/>
      </c>
      <c r="D54" s="63" t="n"/>
      <c r="E54" s="64" t="inlineStr"/>
      <c r="F54" s="62">
        <f>IF('Survey Data'!A48="","","Next.js UI")</f>
        <v/>
      </c>
    </row>
    <row r="55" ht="20" customHeight="1">
      <c r="A55" s="59">
        <f>IF('Survey Data'!A49="","",'Survey Data'!A49)</f>
        <v/>
      </c>
      <c r="B55" s="59">
        <f>IF('Survey Data'!A49="","",'Survey Data'!E49)</f>
        <v/>
      </c>
      <c r="C55" s="59">
        <f>IF('Survey Data'!A49="","",'Survey Data'!B49)</f>
        <v/>
      </c>
      <c r="D55" s="60" t="n"/>
      <c r="E55" s="61" t="inlineStr"/>
      <c r="F55" s="59">
        <f>IF('Survey Data'!A49="","","Next.js UI")</f>
        <v/>
      </c>
    </row>
    <row r="56" ht="20" customHeight="1">
      <c r="A56" s="62">
        <f>IF('Survey Data'!A50="","",'Survey Data'!A50)</f>
        <v/>
      </c>
      <c r="B56" s="62">
        <f>IF('Survey Data'!A50="","",'Survey Data'!E50)</f>
        <v/>
      </c>
      <c r="C56" s="62">
        <f>IF('Survey Data'!A50="","",'Survey Data'!B50)</f>
        <v/>
      </c>
      <c r="D56" s="63" t="n"/>
      <c r="E56" s="64" t="inlineStr"/>
      <c r="F56" s="62">
        <f>IF('Survey Data'!A50="","","Next.js UI")</f>
        <v/>
      </c>
    </row>
    <row r="57" ht="20" customHeight="1">
      <c r="A57" s="59">
        <f>IF('Survey Data'!A51="","",'Survey Data'!A51)</f>
        <v/>
      </c>
      <c r="B57" s="59">
        <f>IF('Survey Data'!A51="","",'Survey Data'!E51)</f>
        <v/>
      </c>
      <c r="C57" s="59">
        <f>IF('Survey Data'!A51="","",'Survey Data'!B51)</f>
        <v/>
      </c>
      <c r="D57" s="60" t="n"/>
      <c r="E57" s="61" t="inlineStr"/>
      <c r="F57" s="59">
        <f>IF('Survey Data'!A51="","","Next.js UI")</f>
        <v/>
      </c>
    </row>
    <row r="58" ht="20" customHeight="1">
      <c r="A58" s="62">
        <f>IF('Survey Data'!A52="","",'Survey Data'!A52)</f>
        <v/>
      </c>
      <c r="B58" s="62">
        <f>IF('Survey Data'!A52="","",'Survey Data'!E52)</f>
        <v/>
      </c>
      <c r="C58" s="62">
        <f>IF('Survey Data'!A52="","",'Survey Data'!B52)</f>
        <v/>
      </c>
      <c r="D58" s="63" t="n"/>
      <c r="E58" s="64" t="inlineStr"/>
      <c r="F58" s="62">
        <f>IF('Survey Data'!A52="","","Next.js UI")</f>
        <v/>
      </c>
    </row>
    <row r="59" ht="20" customHeight="1">
      <c r="A59" s="59">
        <f>IF('Survey Data'!A53="","",'Survey Data'!A53)</f>
        <v/>
      </c>
      <c r="B59" s="59">
        <f>IF('Survey Data'!A53="","",'Survey Data'!E53)</f>
        <v/>
      </c>
      <c r="C59" s="59">
        <f>IF('Survey Data'!A53="","",'Survey Data'!B53)</f>
        <v/>
      </c>
      <c r="D59" s="60" t="n"/>
      <c r="E59" s="61" t="inlineStr"/>
      <c r="F59" s="59">
        <f>IF('Survey Data'!A53="","","Next.js UI")</f>
        <v/>
      </c>
    </row>
    <row r="60" ht="20" customHeight="1">
      <c r="A60" s="62">
        <f>IF('Survey Data'!A54="","",'Survey Data'!A54)</f>
        <v/>
      </c>
      <c r="B60" s="62">
        <f>IF('Survey Data'!A54="","",'Survey Data'!E54)</f>
        <v/>
      </c>
      <c r="C60" s="62">
        <f>IF('Survey Data'!A54="","",'Survey Data'!B54)</f>
        <v/>
      </c>
      <c r="D60" s="63" t="n"/>
      <c r="E60" s="64" t="inlineStr"/>
      <c r="F60" s="62">
        <f>IF('Survey Data'!A54="","","Next.js UI")</f>
        <v/>
      </c>
    </row>
    <row r="61" ht="20" customHeight="1">
      <c r="A61" s="59">
        <f>IF('Survey Data'!A55="","",'Survey Data'!A55)</f>
        <v/>
      </c>
      <c r="B61" s="59">
        <f>IF('Survey Data'!A55="","",'Survey Data'!E55)</f>
        <v/>
      </c>
      <c r="C61" s="59">
        <f>IF('Survey Data'!A55="","",'Survey Data'!B55)</f>
        <v/>
      </c>
      <c r="D61" s="60" t="n"/>
      <c r="E61" s="61" t="inlineStr"/>
      <c r="F61" s="59">
        <f>IF('Survey Data'!A55="","","Next.js UI")</f>
        <v/>
      </c>
    </row>
    <row r="62" ht="20" customHeight="1">
      <c r="A62" s="62">
        <f>IF('Survey Data'!A56="","",'Survey Data'!A56)</f>
        <v/>
      </c>
      <c r="B62" s="62">
        <f>IF('Survey Data'!A56="","",'Survey Data'!E56)</f>
        <v/>
      </c>
      <c r="C62" s="62">
        <f>IF('Survey Data'!A56="","",'Survey Data'!B56)</f>
        <v/>
      </c>
      <c r="D62" s="63" t="n"/>
      <c r="E62" s="64" t="inlineStr"/>
      <c r="F62" s="62">
        <f>IF('Survey Data'!A56="","","Next.js UI")</f>
        <v/>
      </c>
    </row>
    <row r="63" ht="20" customHeight="1">
      <c r="A63" s="59">
        <f>IF('Survey Data'!A57="","",'Survey Data'!A57)</f>
        <v/>
      </c>
      <c r="B63" s="59">
        <f>IF('Survey Data'!A57="","",'Survey Data'!E57)</f>
        <v/>
      </c>
      <c r="C63" s="59">
        <f>IF('Survey Data'!A57="","",'Survey Data'!B57)</f>
        <v/>
      </c>
      <c r="D63" s="60" t="n"/>
      <c r="E63" s="61" t="inlineStr"/>
      <c r="F63" s="59">
        <f>IF('Survey Data'!A57="","","Next.js UI")</f>
        <v/>
      </c>
    </row>
    <row r="64" ht="20" customHeight="1">
      <c r="A64" s="62">
        <f>IF('Survey Data'!A58="","",'Survey Data'!A58)</f>
        <v/>
      </c>
      <c r="B64" s="62">
        <f>IF('Survey Data'!A58="","",'Survey Data'!E58)</f>
        <v/>
      </c>
      <c r="C64" s="62">
        <f>IF('Survey Data'!A58="","",'Survey Data'!B58)</f>
        <v/>
      </c>
      <c r="D64" s="63" t="n"/>
      <c r="E64" s="64" t="inlineStr"/>
      <c r="F64" s="62">
        <f>IF('Survey Data'!A58="","","Next.js UI")</f>
        <v/>
      </c>
    </row>
    <row r="65" ht="20" customHeight="1">
      <c r="A65" s="59">
        <f>IF('Survey Data'!A59="","",'Survey Data'!A59)</f>
        <v/>
      </c>
      <c r="B65" s="59">
        <f>IF('Survey Data'!A59="","",'Survey Data'!E59)</f>
        <v/>
      </c>
      <c r="C65" s="59">
        <f>IF('Survey Data'!A59="","",'Survey Data'!B59)</f>
        <v/>
      </c>
      <c r="D65" s="60" t="n"/>
      <c r="E65" s="61" t="inlineStr"/>
      <c r="F65" s="59">
        <f>IF('Survey Data'!A59="","","Next.js UI")</f>
        <v/>
      </c>
    </row>
    <row r="66" ht="20" customHeight="1">
      <c r="A66" s="62">
        <f>IF('Survey Data'!A60="","",'Survey Data'!A60)</f>
        <v/>
      </c>
      <c r="B66" s="62">
        <f>IF('Survey Data'!A60="","",'Survey Data'!E60)</f>
        <v/>
      </c>
      <c r="C66" s="62">
        <f>IF('Survey Data'!A60="","",'Survey Data'!B60)</f>
        <v/>
      </c>
      <c r="D66" s="63" t="n"/>
      <c r="E66" s="64" t="inlineStr"/>
      <c r="F66" s="62">
        <f>IF('Survey Data'!A60="","","Next.js UI")</f>
        <v/>
      </c>
    </row>
    <row r="67" ht="20" customHeight="1">
      <c r="A67" s="59">
        <f>IF('Survey Data'!A61="","",'Survey Data'!A61)</f>
        <v/>
      </c>
      <c r="B67" s="59">
        <f>IF('Survey Data'!A61="","",'Survey Data'!E61)</f>
        <v/>
      </c>
      <c r="C67" s="59">
        <f>IF('Survey Data'!A61="","",'Survey Data'!B61)</f>
        <v/>
      </c>
      <c r="D67" s="60" t="n"/>
      <c r="E67" s="61" t="inlineStr"/>
      <c r="F67" s="59">
        <f>IF('Survey Data'!A61="","","Next.js UI")</f>
        <v/>
      </c>
    </row>
    <row r="68" ht="20" customHeight="1">
      <c r="A68" s="62">
        <f>IF('Survey Data'!A62="","",'Survey Data'!A62)</f>
        <v/>
      </c>
      <c r="B68" s="62">
        <f>IF('Survey Data'!A62="","",'Survey Data'!E62)</f>
        <v/>
      </c>
      <c r="C68" s="62">
        <f>IF('Survey Data'!A62="","",'Survey Data'!B62)</f>
        <v/>
      </c>
      <c r="D68" s="63" t="n"/>
      <c r="E68" s="64" t="inlineStr"/>
      <c r="F68" s="62">
        <f>IF('Survey Data'!A62="","","Next.js UI")</f>
        <v/>
      </c>
    </row>
    <row r="69" ht="20" customHeight="1">
      <c r="A69" s="59">
        <f>IF('Survey Data'!A63="","",'Survey Data'!A63)</f>
        <v/>
      </c>
      <c r="B69" s="59">
        <f>IF('Survey Data'!A63="","",'Survey Data'!E63)</f>
        <v/>
      </c>
      <c r="C69" s="59">
        <f>IF('Survey Data'!A63="","",'Survey Data'!B63)</f>
        <v/>
      </c>
      <c r="D69" s="60" t="n"/>
      <c r="E69" s="61" t="inlineStr"/>
      <c r="F69" s="59">
        <f>IF('Survey Data'!A63="","","Next.js UI")</f>
        <v/>
      </c>
    </row>
    <row r="70" ht="20" customHeight="1">
      <c r="A70" s="62">
        <f>IF('Survey Data'!A64="","",'Survey Data'!A64)</f>
        <v/>
      </c>
      <c r="B70" s="62">
        <f>IF('Survey Data'!A64="","",'Survey Data'!E64)</f>
        <v/>
      </c>
      <c r="C70" s="62">
        <f>IF('Survey Data'!A64="","",'Survey Data'!B64)</f>
        <v/>
      </c>
      <c r="D70" s="63" t="n"/>
      <c r="E70" s="64" t="inlineStr"/>
      <c r="F70" s="62">
        <f>IF('Survey Data'!A64="","","Next.js UI")</f>
        <v/>
      </c>
    </row>
    <row r="71" ht="20" customHeight="1">
      <c r="A71" s="59">
        <f>IF('Survey Data'!A65="","",'Survey Data'!A65)</f>
        <v/>
      </c>
      <c r="B71" s="59">
        <f>IF('Survey Data'!A65="","",'Survey Data'!E65)</f>
        <v/>
      </c>
      <c r="C71" s="59">
        <f>IF('Survey Data'!A65="","",'Survey Data'!B65)</f>
        <v/>
      </c>
      <c r="D71" s="60" t="n"/>
      <c r="E71" s="61" t="inlineStr"/>
      <c r="F71" s="59">
        <f>IF('Survey Data'!A65="","","Next.js UI")</f>
        <v/>
      </c>
    </row>
    <row r="72" ht="20" customHeight="1">
      <c r="A72" s="62">
        <f>IF('Survey Data'!A66="","",'Survey Data'!A66)</f>
        <v/>
      </c>
      <c r="B72" s="62">
        <f>IF('Survey Data'!A66="","",'Survey Data'!E66)</f>
        <v/>
      </c>
      <c r="C72" s="62">
        <f>IF('Survey Data'!A66="","",'Survey Data'!B66)</f>
        <v/>
      </c>
      <c r="D72" s="63" t="n"/>
      <c r="E72" s="64" t="inlineStr"/>
      <c r="F72" s="62">
        <f>IF('Survey Data'!A66="","","Next.js UI")</f>
        <v/>
      </c>
    </row>
    <row r="73" ht="20" customHeight="1">
      <c r="A73" s="59">
        <f>IF('Survey Data'!A67="","",'Survey Data'!A67)</f>
        <v/>
      </c>
      <c r="B73" s="59">
        <f>IF('Survey Data'!A67="","",'Survey Data'!E67)</f>
        <v/>
      </c>
      <c r="C73" s="59">
        <f>IF('Survey Data'!A67="","",'Survey Data'!B67)</f>
        <v/>
      </c>
      <c r="D73" s="60" t="n"/>
      <c r="E73" s="61" t="inlineStr"/>
      <c r="F73" s="59">
        <f>IF('Survey Data'!A67="","","Next.js UI")</f>
        <v/>
      </c>
    </row>
    <row r="74" ht="20" customHeight="1">
      <c r="A74" s="62">
        <f>IF('Survey Data'!A68="","",'Survey Data'!A68)</f>
        <v/>
      </c>
      <c r="B74" s="62">
        <f>IF('Survey Data'!A68="","",'Survey Data'!E68)</f>
        <v/>
      </c>
      <c r="C74" s="62">
        <f>IF('Survey Data'!A68="","",'Survey Data'!B68)</f>
        <v/>
      </c>
      <c r="D74" s="63" t="n"/>
      <c r="E74" s="64" t="inlineStr"/>
      <c r="F74" s="62">
        <f>IF('Survey Data'!A68="","","Next.js UI")</f>
        <v/>
      </c>
    </row>
    <row r="75" ht="20" customHeight="1">
      <c r="A75" s="59">
        <f>IF('Survey Data'!A69="","",'Survey Data'!A69)</f>
        <v/>
      </c>
      <c r="B75" s="59">
        <f>IF('Survey Data'!A69="","",'Survey Data'!E69)</f>
        <v/>
      </c>
      <c r="C75" s="59">
        <f>IF('Survey Data'!A69="","",'Survey Data'!B69)</f>
        <v/>
      </c>
      <c r="D75" s="60" t="n"/>
      <c r="E75" s="61" t="inlineStr"/>
      <c r="F75" s="59">
        <f>IF('Survey Data'!A69="","","Next.js UI")</f>
        <v/>
      </c>
    </row>
    <row r="76" ht="20" customHeight="1">
      <c r="A76" s="62">
        <f>IF('Survey Data'!A70="","",'Survey Data'!A70)</f>
        <v/>
      </c>
      <c r="B76" s="62">
        <f>IF('Survey Data'!A70="","",'Survey Data'!E70)</f>
        <v/>
      </c>
      <c r="C76" s="62">
        <f>IF('Survey Data'!A70="","",'Survey Data'!B70)</f>
        <v/>
      </c>
      <c r="D76" s="63" t="n"/>
      <c r="E76" s="64" t="inlineStr"/>
      <c r="F76" s="62">
        <f>IF('Survey Data'!A70="","","Next.js UI")</f>
        <v/>
      </c>
    </row>
    <row r="77" ht="20" customHeight="1">
      <c r="A77" s="59">
        <f>IF('Survey Data'!A71="","",'Survey Data'!A71)</f>
        <v/>
      </c>
      <c r="B77" s="59">
        <f>IF('Survey Data'!A71="","",'Survey Data'!E71)</f>
        <v/>
      </c>
      <c r="C77" s="59">
        <f>IF('Survey Data'!A71="","",'Survey Data'!B71)</f>
        <v/>
      </c>
      <c r="D77" s="60" t="n"/>
      <c r="E77" s="61" t="inlineStr"/>
      <c r="F77" s="59">
        <f>IF('Survey Data'!A71="","","Next.js UI")</f>
        <v/>
      </c>
    </row>
    <row r="78" ht="20" customHeight="1">
      <c r="A78" s="62">
        <f>IF('Survey Data'!A72="","",'Survey Data'!A72)</f>
        <v/>
      </c>
      <c r="B78" s="62">
        <f>IF('Survey Data'!A72="","",'Survey Data'!E72)</f>
        <v/>
      </c>
      <c r="C78" s="62">
        <f>IF('Survey Data'!A72="","",'Survey Data'!B72)</f>
        <v/>
      </c>
      <c r="D78" s="63" t="n"/>
      <c r="E78" s="64" t="inlineStr"/>
      <c r="F78" s="62">
        <f>IF('Survey Data'!A72="","","Next.js UI")</f>
        <v/>
      </c>
    </row>
    <row r="79" ht="20" customHeight="1">
      <c r="A79" s="59">
        <f>IF('Survey Data'!A73="","",'Survey Data'!A73)</f>
        <v/>
      </c>
      <c r="B79" s="59">
        <f>IF('Survey Data'!A73="","",'Survey Data'!E73)</f>
        <v/>
      </c>
      <c r="C79" s="59">
        <f>IF('Survey Data'!A73="","",'Survey Data'!B73)</f>
        <v/>
      </c>
      <c r="D79" s="60" t="n"/>
      <c r="E79" s="61" t="inlineStr"/>
      <c r="F79" s="59">
        <f>IF('Survey Data'!A73="","","Next.js UI")</f>
        <v/>
      </c>
    </row>
    <row r="80" ht="20" customHeight="1">
      <c r="A80" s="62">
        <f>IF('Survey Data'!A74="","",'Survey Data'!A74)</f>
        <v/>
      </c>
      <c r="B80" s="62">
        <f>IF('Survey Data'!A74="","",'Survey Data'!E74)</f>
        <v/>
      </c>
      <c r="C80" s="62">
        <f>IF('Survey Data'!A74="","",'Survey Data'!B74)</f>
        <v/>
      </c>
      <c r="D80" s="63" t="n"/>
      <c r="E80" s="64" t="inlineStr"/>
      <c r="F80" s="62">
        <f>IF('Survey Data'!A74="","","Next.js UI")</f>
        <v/>
      </c>
    </row>
    <row r="81" ht="20" customHeight="1">
      <c r="A81" s="59">
        <f>IF('Survey Data'!A75="","",'Survey Data'!A75)</f>
        <v/>
      </c>
      <c r="B81" s="59">
        <f>IF('Survey Data'!A75="","",'Survey Data'!E75)</f>
        <v/>
      </c>
      <c r="C81" s="59">
        <f>IF('Survey Data'!A75="","",'Survey Data'!B75)</f>
        <v/>
      </c>
      <c r="D81" s="60" t="n"/>
      <c r="E81" s="61" t="inlineStr"/>
      <c r="F81" s="59">
        <f>IF('Survey Data'!A75="","","Next.js UI")</f>
        <v/>
      </c>
    </row>
    <row r="82" ht="20" customHeight="1">
      <c r="A82" s="62">
        <f>IF('Survey Data'!A76="","",'Survey Data'!A76)</f>
        <v/>
      </c>
      <c r="B82" s="62">
        <f>IF('Survey Data'!A76="","",'Survey Data'!E76)</f>
        <v/>
      </c>
      <c r="C82" s="62">
        <f>IF('Survey Data'!A76="","",'Survey Data'!B76)</f>
        <v/>
      </c>
      <c r="D82" s="63" t="n"/>
      <c r="E82" s="64" t="inlineStr"/>
      <c r="F82" s="62">
        <f>IF('Survey Data'!A76="","","Next.js UI")</f>
        <v/>
      </c>
    </row>
    <row r="83" ht="20" customHeight="1">
      <c r="A83" s="59">
        <f>IF('Survey Data'!A77="","",'Survey Data'!A77)</f>
        <v/>
      </c>
      <c r="B83" s="59">
        <f>IF('Survey Data'!A77="","",'Survey Data'!E77)</f>
        <v/>
      </c>
      <c r="C83" s="59">
        <f>IF('Survey Data'!A77="","",'Survey Data'!B77)</f>
        <v/>
      </c>
      <c r="D83" s="60" t="n"/>
      <c r="E83" s="61" t="inlineStr"/>
      <c r="F83" s="59">
        <f>IF('Survey Data'!A77="","","Next.js UI")</f>
        <v/>
      </c>
    </row>
    <row r="84" ht="20" customHeight="1">
      <c r="A84" s="62">
        <f>IF('Survey Data'!A78="","",'Survey Data'!A78)</f>
        <v/>
      </c>
      <c r="B84" s="62">
        <f>IF('Survey Data'!A78="","",'Survey Data'!E78)</f>
        <v/>
      </c>
      <c r="C84" s="62">
        <f>IF('Survey Data'!A78="","",'Survey Data'!B78)</f>
        <v/>
      </c>
      <c r="D84" s="63" t="n"/>
      <c r="E84" s="64" t="inlineStr"/>
      <c r="F84" s="62">
        <f>IF('Survey Data'!A78="","","Next.js UI")</f>
        <v/>
      </c>
    </row>
    <row r="85" ht="20" customHeight="1">
      <c r="A85" s="59">
        <f>IF('Survey Data'!A79="","",'Survey Data'!A79)</f>
        <v/>
      </c>
      <c r="B85" s="59">
        <f>IF('Survey Data'!A79="","",'Survey Data'!E79)</f>
        <v/>
      </c>
      <c r="C85" s="59">
        <f>IF('Survey Data'!A79="","",'Survey Data'!B79)</f>
        <v/>
      </c>
      <c r="D85" s="60" t="n"/>
      <c r="E85" s="61" t="inlineStr"/>
      <c r="F85" s="59">
        <f>IF('Survey Data'!A79="","","Next.js UI")</f>
        <v/>
      </c>
    </row>
    <row r="86" ht="20" customHeight="1">
      <c r="A86" s="62">
        <f>IF('Survey Data'!A80="","",'Survey Data'!A80)</f>
        <v/>
      </c>
      <c r="B86" s="62">
        <f>IF('Survey Data'!A80="","",'Survey Data'!E80)</f>
        <v/>
      </c>
      <c r="C86" s="62">
        <f>IF('Survey Data'!A80="","",'Survey Data'!B80)</f>
        <v/>
      </c>
      <c r="D86" s="63" t="n"/>
      <c r="E86" s="64" t="inlineStr"/>
      <c r="F86" s="62">
        <f>IF('Survey Data'!A80="","","Next.js UI")</f>
        <v/>
      </c>
    </row>
    <row r="87" ht="20" customHeight="1">
      <c r="A87" s="59">
        <f>IF('Survey Data'!A81="","",'Survey Data'!A81)</f>
        <v/>
      </c>
      <c r="B87" s="59">
        <f>IF('Survey Data'!A81="","",'Survey Data'!E81)</f>
        <v/>
      </c>
      <c r="C87" s="59">
        <f>IF('Survey Data'!A81="","",'Survey Data'!B81)</f>
        <v/>
      </c>
      <c r="D87" s="60" t="n"/>
      <c r="E87" s="61" t="inlineStr"/>
      <c r="F87" s="59">
        <f>IF('Survey Data'!A81="","","Next.js UI")</f>
        <v/>
      </c>
    </row>
    <row r="88" ht="20" customHeight="1">
      <c r="A88" s="62">
        <f>IF('Survey Data'!A82="","",'Survey Data'!A82)</f>
        <v/>
      </c>
      <c r="B88" s="62">
        <f>IF('Survey Data'!A82="","",'Survey Data'!E82)</f>
        <v/>
      </c>
      <c r="C88" s="62">
        <f>IF('Survey Data'!A82="","",'Survey Data'!B82)</f>
        <v/>
      </c>
      <c r="D88" s="63" t="n"/>
      <c r="E88" s="64" t="inlineStr"/>
      <c r="F88" s="62">
        <f>IF('Survey Data'!A82="","","Next.js UI")</f>
        <v/>
      </c>
    </row>
    <row r="89" ht="20" customHeight="1">
      <c r="A89" s="59">
        <f>IF('Survey Data'!A83="","",'Survey Data'!A83)</f>
        <v/>
      </c>
      <c r="B89" s="59">
        <f>IF('Survey Data'!A83="","",'Survey Data'!E83)</f>
        <v/>
      </c>
      <c r="C89" s="59">
        <f>IF('Survey Data'!A83="","",'Survey Data'!B83)</f>
        <v/>
      </c>
      <c r="D89" s="60" t="n"/>
      <c r="E89" s="61" t="inlineStr"/>
      <c r="F89" s="59">
        <f>IF('Survey Data'!A83="","","Next.js UI")</f>
        <v/>
      </c>
    </row>
    <row r="90" ht="20" customHeight="1">
      <c r="A90" s="62">
        <f>IF('Survey Data'!A84="","",'Survey Data'!A84)</f>
        <v/>
      </c>
      <c r="B90" s="62">
        <f>IF('Survey Data'!A84="","",'Survey Data'!E84)</f>
        <v/>
      </c>
      <c r="C90" s="62">
        <f>IF('Survey Data'!A84="","",'Survey Data'!B84)</f>
        <v/>
      </c>
      <c r="D90" s="63" t="n"/>
      <c r="E90" s="64" t="inlineStr"/>
      <c r="F90" s="62">
        <f>IF('Survey Data'!A84="","","Next.js UI")</f>
        <v/>
      </c>
    </row>
  </sheetData>
  <sheetProtection selectLockedCells="0" selectUnlockedCells="0" sheet="1" objects="0" insertRows="1" insertHyperlinks="1" autoFilter="1" scenarios="0" formatColumns="1" deleteColumns="1" insertColumns="1" pivotTables="1" deleteRows="1" formatCells="1" formatRows="1" sort="1"/>
  <mergeCells count="8">
    <mergeCell ref="A2:F2"/>
    <mergeCell ref="A1:F1"/>
    <mergeCell ref="A5:F5"/>
    <mergeCell ref="A8:F8"/>
    <mergeCell ref="A6:F6"/>
    <mergeCell ref="A4:F4"/>
    <mergeCell ref="A3:F3"/>
    <mergeCell ref="A7:F7"/>
  </mergeCells>
  <dataValidations count="1">
    <dataValidation sqref="D11:D90" showDropDown="0" showInputMessage="1" showErrorMessage="1" allowBlank="1" errorTitle="Invalid action" error="Select Demand Notice, Print, View, Edit or Delete." promptTitle="Suggested Action" prompt="Optional tracker only. Real actions belong in the Next.js application." type="list">
      <formula1>ActionOptions</formula1>
    </dataValidation>
  </dataValidations>
  <pageMargins left="0.5" right="0.5" top="0.6" bottom="0.5" header="0.5" footer="0.5"/>
  <pageSetup orientation="landscape" fitToHeight="0" fitToWidth="1"/>
</worksheet>
</file>

<file path=xl/worksheets/sheet5.xml><?xml version="1.0" encoding="utf-8"?>
<worksheet xmlns="http://schemas.openxmlformats.org/spreadsheetml/2006/main">
  <sheetPr>
    <tabColor rgb="001F618D"/>
    <outlinePr summaryBelow="1" summaryRight="1"/>
    <pageSetUpPr fitToPage="1"/>
  </sheetPr>
  <dimension ref="A1:I44"/>
  <sheetViews>
    <sheetView showGridLines="0" workbookViewId="0">
      <pane ySplit="3" topLeftCell="A4" activePane="bottomLeft" state="frozen"/>
      <selection pane="bottomLeft" activeCell="A1" sqref="A1"/>
    </sheetView>
  </sheetViews>
  <sheetFormatPr baseColWidth="8" defaultRowHeight="15"/>
  <cols>
    <col width="6" customWidth="1" min="1" max="1"/>
    <col width="32" customWidth="1" min="2" max="2"/>
    <col width="14" customWidth="1" min="3" max="3"/>
    <col width="12" customWidth="1" min="4" max="4"/>
    <col width="28" customWidth="1" min="5" max="5"/>
    <col width="48" customWidth="1" min="6" max="6"/>
    <col width="34" customWidth="1" min="7" max="7"/>
    <col width="26" customWidth="1" min="8" max="8"/>
    <col width="16" customWidth="1" min="9" max="9"/>
  </cols>
  <sheetData>
    <row r="1" ht="32" customHeight="1">
      <c r="A1" s="1" t="inlineStr">
        <is>
          <t>Field Guide  |  Excel to NestJS DTO mapping</t>
        </is>
      </c>
    </row>
    <row r="2" ht="22" customHeight="1">
      <c r="A2" s="2" t="inlineStr">
        <is>
          <t>Stable 37-column contract for import/export. DTO names are camelCase suggestions for apps/api survey DTOs. Aadhaar is documented as a future optional field and is intentionally absent from the primary sheet.</t>
        </is>
      </c>
    </row>
    <row r="4" ht="28" customHeight="1">
      <c r="A4" s="50" t="inlineStr">
        <is>
          <t>#</t>
        </is>
      </c>
      <c r="B4" s="50" t="inlineStr">
        <is>
          <t>Excel Column</t>
        </is>
      </c>
      <c r="C4" s="50" t="inlineStr">
        <is>
          <t>Data Type</t>
        </is>
      </c>
      <c r="D4" s="50" t="inlineStr">
        <is>
          <t>Required</t>
        </is>
      </c>
      <c r="E4" s="50" t="inlineStr">
        <is>
          <t>Validation</t>
        </is>
      </c>
      <c r="F4" s="50" t="inlineStr">
        <is>
          <t>Description</t>
        </is>
      </c>
      <c r="G4" s="50" t="inlineStr">
        <is>
          <t>Example</t>
        </is>
      </c>
      <c r="H4" s="50" t="inlineStr">
        <is>
          <t>NestJS DTO Field</t>
        </is>
      </c>
      <c r="I4" s="50" t="inlineStr">
        <is>
          <t>DTO Type</t>
        </is>
      </c>
    </row>
    <row r="5" ht="22" customHeight="1">
      <c r="A5" s="65" t="n">
        <v>1</v>
      </c>
      <c r="B5" s="66" t="inlineStr">
        <is>
          <t>SN</t>
        </is>
      </c>
      <c r="C5" s="65" t="inlineStr">
        <is>
          <t>number</t>
        </is>
      </c>
      <c r="D5" s="65" t="inlineStr">
        <is>
          <t>Auto</t>
        </is>
      </c>
      <c r="E5" s="66" t="inlineStr">
        <is>
          <t>Formula, protected</t>
        </is>
      </c>
      <c r="F5" s="66" t="inlineStr">
        <is>
          <t>Serial number for populated rows</t>
        </is>
      </c>
      <c r="G5" s="66" t="inlineStr">
        <is>
          <t>1</t>
        </is>
      </c>
      <c r="H5" s="65" t="inlineStr">
        <is>
          <t>serialNumber</t>
        </is>
      </c>
      <c r="I5" s="65" t="inlineStr">
        <is>
          <t>number</t>
        </is>
      </c>
    </row>
    <row r="6" ht="22" customHeight="1">
      <c r="A6" s="67" t="n">
        <v>2</v>
      </c>
      <c r="B6" s="68" t="inlineStr">
        <is>
          <t>Status</t>
        </is>
      </c>
      <c r="C6" s="67" t="inlineStr">
        <is>
          <t>enum</t>
        </is>
      </c>
      <c r="D6" s="67" t="inlineStr">
        <is>
          <t>Yes</t>
        </is>
      </c>
      <c r="E6" s="68" t="inlineStr">
        <is>
          <t>Dropdown</t>
        </is>
      </c>
      <c r="F6" s="68" t="inlineStr">
        <is>
          <t>Workflow status for field/QC entry</t>
        </is>
      </c>
      <c r="G6" s="68" t="inlineStr">
        <is>
          <t>Completed</t>
        </is>
      </c>
      <c r="H6" s="67" t="inlineStr">
        <is>
          <t>status</t>
        </is>
      </c>
      <c r="I6" s="67" t="inlineStr">
        <is>
          <t>string</t>
        </is>
      </c>
    </row>
    <row r="7" ht="22" customHeight="1">
      <c r="A7" s="65" t="n">
        <v>3</v>
      </c>
      <c r="B7" s="66" t="inlineStr">
        <is>
          <t>Surveyor Name</t>
        </is>
      </c>
      <c r="C7" s="65" t="inlineStr">
        <is>
          <t>text</t>
        </is>
      </c>
      <c r="D7" s="65" t="inlineStr">
        <is>
          <t>Yes</t>
        </is>
      </c>
      <c r="E7" s="66" t="inlineStr">
        <is>
          <t>Text</t>
        </is>
      </c>
      <c r="F7" s="66" t="inlineStr">
        <is>
          <t>Name of the enumerator</t>
        </is>
      </c>
      <c r="G7" s="66" t="inlineStr">
        <is>
          <t>Amit Verma</t>
        </is>
      </c>
      <c r="H7" s="65" t="inlineStr">
        <is>
          <t>surveyorName</t>
        </is>
      </c>
      <c r="I7" s="65" t="inlineStr">
        <is>
          <t>string</t>
        </is>
      </c>
    </row>
    <row r="8" ht="22" customHeight="1">
      <c r="A8" s="67" t="n">
        <v>4</v>
      </c>
      <c r="B8" s="68" t="inlineStr">
        <is>
          <t>Assessment Year</t>
        </is>
      </c>
      <c r="C8" s="67" t="inlineStr">
        <is>
          <t>enum</t>
        </is>
      </c>
      <c r="D8" s="67" t="inlineStr">
        <is>
          <t>Yes</t>
        </is>
      </c>
      <c r="E8" s="68" t="inlineStr">
        <is>
          <t>Dropdown</t>
        </is>
      </c>
      <c r="F8" s="68" t="inlineStr">
        <is>
          <t>Financial assessment year</t>
        </is>
      </c>
      <c r="G8" s="68" t="inlineStr">
        <is>
          <t>2025-2026</t>
        </is>
      </c>
      <c r="H8" s="67" t="inlineStr">
        <is>
          <t>assessmentYear</t>
        </is>
      </c>
      <c r="I8" s="67" t="inlineStr">
        <is>
          <t>string</t>
        </is>
      </c>
    </row>
    <row r="9" ht="22" customHeight="1">
      <c r="A9" s="65" t="n">
        <v>5</v>
      </c>
      <c r="B9" s="66" t="inlineStr">
        <is>
          <t>Property Id</t>
        </is>
      </c>
      <c r="C9" s="65" t="inlineStr">
        <is>
          <t>text</t>
        </is>
      </c>
      <c r="D9" s="65" t="inlineStr">
        <is>
          <t>Auto</t>
        </is>
      </c>
      <c r="E9" s="66" t="inlineStr">
        <is>
          <t>Formula, protected</t>
        </is>
      </c>
      <c r="F9" s="66" t="inlineStr">
        <is>
          <t>800797-011-{parcel}-{oldNo}-{type}</t>
        </is>
      </c>
      <c r="G9" s="66" t="inlineStr">
        <is>
          <t>800797-011-125-4587-Residential</t>
        </is>
      </c>
      <c r="H9" s="65" t="inlineStr">
        <is>
          <t>propertyId</t>
        </is>
      </c>
      <c r="I9" s="65" t="inlineStr">
        <is>
          <t>string</t>
        </is>
      </c>
    </row>
    <row r="10" ht="22" customHeight="1">
      <c r="A10" s="67" t="n">
        <v>6</v>
      </c>
      <c r="B10" s="68" t="inlineStr">
        <is>
          <t>Date of Survey</t>
        </is>
      </c>
      <c r="C10" s="67" t="inlineStr">
        <is>
          <t>datetime</t>
        </is>
      </c>
      <c r="D10" s="67" t="inlineStr">
        <is>
          <t>Yes</t>
        </is>
      </c>
      <c r="E10" s="68" t="inlineStr">
        <is>
          <t>Valid date</t>
        </is>
      </c>
      <c r="F10" s="68" t="inlineStr">
        <is>
          <t>Capture / submit timestamp</t>
        </is>
      </c>
      <c r="G10" s="68" t="inlineStr">
        <is>
          <t>12-06-2025 10:35</t>
        </is>
      </c>
      <c r="H10" s="67" t="inlineStr">
        <is>
          <t>dateOfSurvey</t>
        </is>
      </c>
      <c r="I10" s="67" t="inlineStr">
        <is>
          <t>datetime</t>
        </is>
      </c>
    </row>
    <row r="11" ht="22" customHeight="1">
      <c r="A11" s="65" t="n">
        <v>7</v>
      </c>
      <c r="B11" s="66" t="inlineStr">
        <is>
          <t>Owner Name</t>
        </is>
      </c>
      <c r="C11" s="65" t="inlineStr">
        <is>
          <t>text</t>
        </is>
      </c>
      <c r="D11" s="65" t="inlineStr">
        <is>
          <t>Yes</t>
        </is>
      </c>
      <c r="E11" s="66" t="inlineStr">
        <is>
          <t>Text</t>
        </is>
      </c>
      <c r="F11" s="66" t="inlineStr">
        <is>
          <t>Primary owner or entity name</t>
        </is>
      </c>
      <c r="G11" s="66" t="inlineStr">
        <is>
          <t>Ramesh Kumar Sharma</t>
        </is>
      </c>
      <c r="H11" s="65" t="inlineStr">
        <is>
          <t>ownerName</t>
        </is>
      </c>
      <c r="I11" s="65" t="inlineStr">
        <is>
          <t>string</t>
        </is>
      </c>
    </row>
    <row r="12" ht="22" customHeight="1">
      <c r="A12" s="67" t="n">
        <v>8</v>
      </c>
      <c r="B12" s="68" t="inlineStr">
        <is>
          <t>Owner Father Name</t>
        </is>
      </c>
      <c r="C12" s="67" t="inlineStr">
        <is>
          <t>text</t>
        </is>
      </c>
      <c r="D12" s="67" t="inlineStr">
        <is>
          <t>No</t>
        </is>
      </c>
      <c r="E12" s="68" t="inlineStr">
        <is>
          <t>Text</t>
        </is>
      </c>
      <c r="F12" s="68" t="inlineStr">
        <is>
          <t>Father / husband name; N/A for organisations</t>
        </is>
      </c>
      <c r="G12" s="68" t="inlineStr">
        <is>
          <t>Ram Lal Sharma</t>
        </is>
      </c>
      <c r="H12" s="67" t="inlineStr">
        <is>
          <t>ownerFatherName</t>
        </is>
      </c>
      <c r="I12" s="67" t="inlineStr">
        <is>
          <t>string</t>
        </is>
      </c>
    </row>
    <row r="13" ht="22" customHeight="1">
      <c r="A13" s="65" t="n">
        <v>9</v>
      </c>
      <c r="B13" s="66" t="inlineStr">
        <is>
          <t>Mobile No</t>
        </is>
      </c>
      <c r="C13" s="65" t="inlineStr">
        <is>
          <t>text</t>
        </is>
      </c>
      <c r="D13" s="65" t="inlineStr">
        <is>
          <t>Yes</t>
        </is>
      </c>
      <c r="E13" s="66" t="inlineStr">
        <is>
          <t>Exactly 10 digits</t>
        </is>
      </c>
      <c r="F13" s="66" t="inlineStr">
        <is>
          <t>Stored as text to preserve digits</t>
        </is>
      </c>
      <c r="G13" s="66" t="inlineStr">
        <is>
          <t>9876501234</t>
        </is>
      </c>
      <c r="H13" s="65" t="inlineStr">
        <is>
          <t>mobileNo</t>
        </is>
      </c>
      <c r="I13" s="65" t="inlineStr">
        <is>
          <t>string</t>
        </is>
      </c>
    </row>
    <row r="14" ht="22" customHeight="1">
      <c r="A14" s="67" t="n">
        <v>10</v>
      </c>
      <c r="B14" s="68" t="inlineStr">
        <is>
          <t>Ward Name</t>
        </is>
      </c>
      <c r="C14" s="67" t="inlineStr">
        <is>
          <t>text</t>
        </is>
      </c>
      <c r="D14" s="67" t="inlineStr">
        <is>
          <t>Yes</t>
        </is>
      </c>
      <c r="E14" s="68" t="inlineStr">
        <is>
          <t>Text</t>
        </is>
      </c>
      <c r="F14" s="68" t="inlineStr">
        <is>
          <t>Ward display name</t>
        </is>
      </c>
      <c r="G14" s="68" t="inlineStr">
        <is>
          <t>Ward 11 - Gandhi Nagar</t>
        </is>
      </c>
      <c r="H14" s="67" t="inlineStr">
        <is>
          <t>wardName</t>
        </is>
      </c>
      <c r="I14" s="67" t="inlineStr">
        <is>
          <t>string</t>
        </is>
      </c>
    </row>
    <row r="15" ht="22" customHeight="1">
      <c r="A15" s="65" t="n">
        <v>11</v>
      </c>
      <c r="B15" s="66" t="inlineStr">
        <is>
          <t>Is Slum</t>
        </is>
      </c>
      <c r="C15" s="65" t="inlineStr">
        <is>
          <t>enum</t>
        </is>
      </c>
      <c r="D15" s="65" t="inlineStr">
        <is>
          <t>Yes</t>
        </is>
      </c>
      <c r="E15" s="66" t="inlineStr">
        <is>
          <t>yes / no</t>
        </is>
      </c>
      <c r="F15" s="66" t="inlineStr">
        <is>
          <t>Notified slum flag</t>
        </is>
      </c>
      <c r="G15" s="66" t="inlineStr">
        <is>
          <t>no</t>
        </is>
      </c>
      <c r="H15" s="65" t="inlineStr">
        <is>
          <t>isSlum</t>
        </is>
      </c>
      <c r="I15" s="65" t="inlineStr">
        <is>
          <t>string</t>
        </is>
      </c>
    </row>
    <row r="16" ht="22" customHeight="1">
      <c r="A16" s="67" t="n">
        <v>12</v>
      </c>
      <c r="B16" s="68" t="inlineStr">
        <is>
          <t>Parcel No</t>
        </is>
      </c>
      <c r="C16" s="67" t="inlineStr">
        <is>
          <t>number</t>
        </is>
      </c>
      <c r="D16" s="67" t="inlineStr">
        <is>
          <t>Yes</t>
        </is>
      </c>
      <c r="E16" s="68" t="inlineStr">
        <is>
          <t>Numeric &gt;= 0</t>
        </is>
      </c>
      <c r="F16" s="68" t="inlineStr">
        <is>
          <t>Parcel number used in Property Id</t>
        </is>
      </c>
      <c r="G16" s="68" t="inlineStr">
        <is>
          <t>125</t>
        </is>
      </c>
      <c r="H16" s="67" t="inlineStr">
        <is>
          <t>parcelNo</t>
        </is>
      </c>
      <c r="I16" s="67" t="inlineStr">
        <is>
          <t>number</t>
        </is>
      </c>
    </row>
    <row r="17" ht="22" customHeight="1">
      <c r="A17" s="65" t="n">
        <v>13</v>
      </c>
      <c r="B17" s="66" t="inlineStr">
        <is>
          <t>Unit No</t>
        </is>
      </c>
      <c r="C17" s="65" t="inlineStr">
        <is>
          <t>number</t>
        </is>
      </c>
      <c r="D17" s="65" t="inlineStr">
        <is>
          <t>Yes</t>
        </is>
      </c>
      <c r="E17" s="66" t="inlineStr">
        <is>
          <t>Numeric &gt;= 0</t>
        </is>
      </c>
      <c r="F17" s="66" t="inlineStr">
        <is>
          <t>Unit / sub-number</t>
        </is>
      </c>
      <c r="G17" s="66" t="inlineStr">
        <is>
          <t>1</t>
        </is>
      </c>
      <c r="H17" s="65" t="inlineStr">
        <is>
          <t>unitNo</t>
        </is>
      </c>
      <c r="I17" s="65" t="inlineStr">
        <is>
          <t>number</t>
        </is>
      </c>
    </row>
    <row r="18" ht="22" customHeight="1">
      <c r="A18" s="67" t="n">
        <v>14</v>
      </c>
      <c r="B18" s="68" t="inlineStr">
        <is>
          <t>old property Number</t>
        </is>
      </c>
      <c r="C18" s="67" t="inlineStr">
        <is>
          <t>number</t>
        </is>
      </c>
      <c r="D18" s="67" t="inlineStr">
        <is>
          <t>Yes</t>
        </is>
      </c>
      <c r="E18" s="68" t="inlineStr">
        <is>
          <t>Numeric &gt;= 0</t>
        </is>
      </c>
      <c r="F18" s="68" t="inlineStr">
        <is>
          <t>Legacy municipal property number</t>
        </is>
      </c>
      <c r="G18" s="68" t="inlineStr">
        <is>
          <t>4587</t>
        </is>
      </c>
      <c r="H18" s="67" t="inlineStr">
        <is>
          <t>oldPropertyNumber</t>
        </is>
      </c>
      <c r="I18" s="67" t="inlineStr">
        <is>
          <t>number</t>
        </is>
      </c>
    </row>
    <row r="19" ht="22" customHeight="1">
      <c r="A19" s="65" t="n">
        <v>15</v>
      </c>
      <c r="B19" s="66" t="inlineStr">
        <is>
          <t>Constructed Date</t>
        </is>
      </c>
      <c r="C19" s="65" t="inlineStr">
        <is>
          <t>date</t>
        </is>
      </c>
      <c r="D19" s="65" t="inlineStr">
        <is>
          <t>No</t>
        </is>
      </c>
      <c r="E19" s="66" t="inlineStr">
        <is>
          <t>Valid date</t>
        </is>
      </c>
      <c r="F19" s="66" t="inlineStr">
        <is>
          <t>Construction date</t>
        </is>
      </c>
      <c r="G19" s="66" t="inlineStr">
        <is>
          <t>14-03-2008</t>
        </is>
      </c>
      <c r="H19" s="65" t="inlineStr">
        <is>
          <t>constructedDate</t>
        </is>
      </c>
      <c r="I19" s="65" t="inlineStr">
        <is>
          <t>date</t>
        </is>
      </c>
    </row>
    <row r="20" ht="22" customHeight="1">
      <c r="A20" s="67" t="n">
        <v>16</v>
      </c>
      <c r="B20" s="68" t="inlineStr">
        <is>
          <t>Respondent Name</t>
        </is>
      </c>
      <c r="C20" s="67" t="inlineStr">
        <is>
          <t>text</t>
        </is>
      </c>
      <c r="D20" s="67" t="inlineStr">
        <is>
          <t>No</t>
        </is>
      </c>
      <c r="E20" s="68" t="inlineStr">
        <is>
          <t>Text</t>
        </is>
      </c>
      <c r="F20" s="68" t="inlineStr">
        <is>
          <t>Person interviewed on site</t>
        </is>
      </c>
      <c r="G20" s="68" t="inlineStr">
        <is>
          <t>Ramesh Kumar Sharma</t>
        </is>
      </c>
      <c r="H20" s="67" t="inlineStr">
        <is>
          <t>respondentName</t>
        </is>
      </c>
      <c r="I20" s="67" t="inlineStr">
        <is>
          <t>string</t>
        </is>
      </c>
    </row>
    <row r="21" ht="22" customHeight="1">
      <c r="A21" s="65" t="n">
        <v>17</v>
      </c>
      <c r="B21" s="66" t="inlineStr">
        <is>
          <t>Respondent Relationship</t>
        </is>
      </c>
      <c r="C21" s="65" t="inlineStr">
        <is>
          <t>enum</t>
        </is>
      </c>
      <c r="D21" s="65" t="inlineStr">
        <is>
          <t>No</t>
        </is>
      </c>
      <c r="E21" s="66" t="inlineStr">
        <is>
          <t>Dropdown</t>
        </is>
      </c>
      <c r="F21" s="66" t="inlineStr">
        <is>
          <t>Relation to owner</t>
        </is>
      </c>
      <c r="G21" s="66" t="inlineStr">
        <is>
          <t>Self</t>
        </is>
      </c>
      <c r="H21" s="65" t="inlineStr">
        <is>
          <t>respondentRelationship</t>
        </is>
      </c>
      <c r="I21" s="65" t="inlineStr">
        <is>
          <t>string</t>
        </is>
      </c>
    </row>
    <row r="22" ht="22" customHeight="1">
      <c r="A22" s="67" t="n">
        <v>18</v>
      </c>
      <c r="B22" s="68" t="inlineStr">
        <is>
          <t>City</t>
        </is>
      </c>
      <c r="C22" s="67" t="inlineStr">
        <is>
          <t>text</t>
        </is>
      </c>
      <c r="D22" s="67" t="inlineStr">
        <is>
          <t>Yes</t>
        </is>
      </c>
      <c r="E22" s="68" t="inlineStr">
        <is>
          <t>Text</t>
        </is>
      </c>
      <c r="F22" s="68" t="inlineStr">
        <is>
          <t>City / ULB name</t>
        </is>
      </c>
      <c r="G22" s="68" t="inlineStr">
        <is>
          <t>Etah</t>
        </is>
      </c>
      <c r="H22" s="67" t="inlineStr">
        <is>
          <t>city</t>
        </is>
      </c>
      <c r="I22" s="67" t="inlineStr">
        <is>
          <t>string</t>
        </is>
      </c>
    </row>
    <row r="23" ht="22" customHeight="1">
      <c r="A23" s="65" t="n">
        <v>19</v>
      </c>
      <c r="B23" s="66" t="inlineStr">
        <is>
          <t>Pincode</t>
        </is>
      </c>
      <c r="C23" s="65" t="inlineStr">
        <is>
          <t>text</t>
        </is>
      </c>
      <c r="D23" s="65" t="inlineStr">
        <is>
          <t>Yes</t>
        </is>
      </c>
      <c r="E23" s="66" t="inlineStr">
        <is>
          <t>Exactly 6 digits</t>
        </is>
      </c>
      <c r="F23" s="66" t="inlineStr">
        <is>
          <t>Indian PIN code as text</t>
        </is>
      </c>
      <c r="G23" s="66" t="inlineStr">
        <is>
          <t>207001</t>
        </is>
      </c>
      <c r="H23" s="65" t="inlineStr">
        <is>
          <t>pincode</t>
        </is>
      </c>
      <c r="I23" s="65" t="inlineStr">
        <is>
          <t>string</t>
        </is>
      </c>
    </row>
    <row r="24" ht="22" customHeight="1">
      <c r="A24" s="67" t="n">
        <v>20</v>
      </c>
      <c r="B24" s="68" t="inlineStr">
        <is>
          <t>House No</t>
        </is>
      </c>
      <c r="C24" s="67" t="inlineStr">
        <is>
          <t>text</t>
        </is>
      </c>
      <c r="D24" s="67" t="inlineStr">
        <is>
          <t>No</t>
        </is>
      </c>
      <c r="E24" s="68" t="inlineStr">
        <is>
          <t>Text</t>
        </is>
      </c>
      <c r="F24" s="68" t="inlineStr">
        <is>
          <t>Door / house / plot identifier</t>
        </is>
      </c>
      <c r="G24" s="68" t="inlineStr">
        <is>
          <t>12-A</t>
        </is>
      </c>
      <c r="H24" s="67" t="inlineStr">
        <is>
          <t>houseNo</t>
        </is>
      </c>
      <c r="I24" s="67" t="inlineStr">
        <is>
          <t>string</t>
        </is>
      </c>
    </row>
    <row r="25" ht="22" customHeight="1">
      <c r="A25" s="65" t="n">
        <v>21</v>
      </c>
      <c r="B25" s="66" t="inlineStr">
        <is>
          <t>Locality</t>
        </is>
      </c>
      <c r="C25" s="65" t="inlineStr">
        <is>
          <t>text</t>
        </is>
      </c>
      <c r="D25" s="65" t="inlineStr">
        <is>
          <t>No</t>
        </is>
      </c>
      <c r="E25" s="66" t="inlineStr">
        <is>
          <t>Text</t>
        </is>
      </c>
      <c r="F25" s="66" t="inlineStr">
        <is>
          <t>Locality / mohalla</t>
        </is>
      </c>
      <c r="G25" s="66" t="inlineStr">
        <is>
          <t>Gandhi Nagar</t>
        </is>
      </c>
      <c r="H25" s="65" t="inlineStr">
        <is>
          <t>locality</t>
        </is>
      </c>
      <c r="I25" s="65" t="inlineStr">
        <is>
          <t>string</t>
        </is>
      </c>
    </row>
    <row r="26" ht="22" customHeight="1">
      <c r="A26" s="67" t="n">
        <v>22</v>
      </c>
      <c r="B26" s="68" t="inlineStr">
        <is>
          <t>Colony</t>
        </is>
      </c>
      <c r="C26" s="67" t="inlineStr">
        <is>
          <t>text</t>
        </is>
      </c>
      <c r="D26" s="67" t="inlineStr">
        <is>
          <t>No</t>
        </is>
      </c>
      <c r="E26" s="68" t="inlineStr">
        <is>
          <t>Text</t>
        </is>
      </c>
      <c r="F26" s="68" t="inlineStr">
        <is>
          <t>Colony name</t>
        </is>
      </c>
      <c r="G26" s="68" t="inlineStr">
        <is>
          <t>Shastri Colony</t>
        </is>
      </c>
      <c r="H26" s="67" t="inlineStr">
        <is>
          <t>colony</t>
        </is>
      </c>
      <c r="I26" s="67" t="inlineStr">
        <is>
          <t>string</t>
        </is>
      </c>
    </row>
    <row r="27" ht="22" customHeight="1">
      <c r="A27" s="65" t="n">
        <v>23</v>
      </c>
      <c r="B27" s="66" t="inlineStr">
        <is>
          <t>Tax Rate Zone</t>
        </is>
      </c>
      <c r="C27" s="65" t="inlineStr">
        <is>
          <t>enum</t>
        </is>
      </c>
      <c r="D27" s="65" t="inlineStr">
        <is>
          <t>Yes</t>
        </is>
      </c>
      <c r="E27" s="66" t="inlineStr">
        <is>
          <t>RATE ZONE 1–4</t>
        </is>
      </c>
      <c r="F27" s="66" t="inlineStr">
        <is>
          <t>Municipal rate zone used by tax engine</t>
        </is>
      </c>
      <c r="G27" s="66" t="inlineStr">
        <is>
          <t>RATE ZONE 1</t>
        </is>
      </c>
      <c r="H27" s="65" t="inlineStr">
        <is>
          <t>taxRateZone</t>
        </is>
      </c>
      <c r="I27" s="65" t="inlineStr">
        <is>
          <t>string</t>
        </is>
      </c>
    </row>
    <row r="28" ht="22" customHeight="1">
      <c r="A28" s="67" t="n">
        <v>24</v>
      </c>
      <c r="B28" s="68" t="inlineStr">
        <is>
          <t>Property Ownership</t>
        </is>
      </c>
      <c r="C28" s="67" t="inlineStr">
        <is>
          <t>enum</t>
        </is>
      </c>
      <c r="D28" s="67" t="inlineStr">
        <is>
          <t>Yes</t>
        </is>
      </c>
      <c r="E28" s="68" t="inlineStr">
        <is>
          <t>Dropdown</t>
        </is>
      </c>
      <c r="F28" s="68" t="inlineStr">
        <is>
          <t>Legal ownership category</t>
        </is>
      </c>
      <c r="G28" s="68" t="inlineStr">
        <is>
          <t>Individual (Single/Joint)</t>
        </is>
      </c>
      <c r="H28" s="67" t="inlineStr">
        <is>
          <t>propertyOwnership</t>
        </is>
      </c>
      <c r="I28" s="67" t="inlineStr">
        <is>
          <t>string</t>
        </is>
      </c>
    </row>
    <row r="29" ht="22" customHeight="1">
      <c r="A29" s="65" t="n">
        <v>25</v>
      </c>
      <c r="B29" s="66" t="inlineStr">
        <is>
          <t>Property Type</t>
        </is>
      </c>
      <c r="C29" s="65" t="inlineStr">
        <is>
          <t>enum</t>
        </is>
      </c>
      <c r="D29" s="65" t="inlineStr">
        <is>
          <t>Yes</t>
        </is>
      </c>
      <c r="E29" s="66" t="inlineStr">
        <is>
          <t>Dropdown</t>
        </is>
      </c>
      <c r="F29" s="66" t="inlineStr">
        <is>
          <t>Classification; also feeds Property Id</t>
        </is>
      </c>
      <c r="G29" s="66" t="inlineStr">
        <is>
          <t>Residential</t>
        </is>
      </c>
      <c r="H29" s="65" t="inlineStr">
        <is>
          <t>propertyType</t>
        </is>
      </c>
      <c r="I29" s="65" t="inlineStr">
        <is>
          <t>string</t>
        </is>
      </c>
    </row>
    <row r="30" ht="22" customHeight="1">
      <c r="A30" s="67" t="n">
        <v>26</v>
      </c>
      <c r="B30" s="68" t="inlineStr">
        <is>
          <t>Property Uses</t>
        </is>
      </c>
      <c r="C30" s="67" t="inlineStr">
        <is>
          <t>enum</t>
        </is>
      </c>
      <c r="D30" s="67" t="inlineStr">
        <is>
          <t>Yes</t>
        </is>
      </c>
      <c r="E30" s="68" t="inlineStr">
        <is>
          <t>Dropdown</t>
        </is>
      </c>
      <c r="F30" s="68" t="inlineStr">
        <is>
          <t>Actual current use / occupancy</t>
        </is>
      </c>
      <c r="G30" s="68" t="inlineStr">
        <is>
          <t>Residential Self</t>
        </is>
      </c>
      <c r="H30" s="67" t="inlineStr">
        <is>
          <t>propertyUses</t>
        </is>
      </c>
      <c r="I30" s="67" t="inlineStr">
        <is>
          <t>string</t>
        </is>
      </c>
    </row>
    <row r="31" ht="22" customHeight="1">
      <c r="A31" s="65" t="n">
        <v>27</v>
      </c>
      <c r="B31" s="66" t="inlineStr">
        <is>
          <t>Situation</t>
        </is>
      </c>
      <c r="C31" s="65" t="inlineStr">
        <is>
          <t>enum</t>
        </is>
      </c>
      <c r="D31" s="65" t="inlineStr">
        <is>
          <t>Yes</t>
        </is>
      </c>
      <c r="E31" s="66" t="inlineStr">
        <is>
          <t>Dropdown</t>
        </is>
      </c>
      <c r="F31" s="66" t="inlineStr">
        <is>
          <t>Location relative to market/road/slum</t>
        </is>
      </c>
      <c r="G31" s="66" t="inlineStr">
        <is>
          <t>Main Road</t>
        </is>
      </c>
      <c r="H31" s="65" t="inlineStr">
        <is>
          <t>situation</t>
        </is>
      </c>
      <c r="I31" s="65" t="inlineStr">
        <is>
          <t>string</t>
        </is>
      </c>
    </row>
    <row r="32" ht="22" customHeight="1">
      <c r="A32" s="67" t="n">
        <v>28</v>
      </c>
      <c r="B32" s="68" t="inlineStr">
        <is>
          <t>Road Type</t>
        </is>
      </c>
      <c r="C32" s="67" t="inlineStr">
        <is>
          <t>enum</t>
        </is>
      </c>
      <c r="D32" s="67" t="inlineStr">
        <is>
          <t>Yes</t>
        </is>
      </c>
      <c r="E32" s="68" t="inlineStr">
        <is>
          <t>Dropdown</t>
        </is>
      </c>
      <c r="F32" s="68" t="inlineStr">
        <is>
          <t>Access road surface</t>
        </is>
      </c>
      <c r="G32" s="68" t="inlineStr">
        <is>
          <t>Dambar Road</t>
        </is>
      </c>
      <c r="H32" s="67" t="inlineStr">
        <is>
          <t>roadType</t>
        </is>
      </c>
      <c r="I32" s="67" t="inlineStr">
        <is>
          <t>string</t>
        </is>
      </c>
    </row>
    <row r="33" ht="22" customHeight="1">
      <c r="A33" s="65" t="n">
        <v>29</v>
      </c>
      <c r="B33" s="66" t="inlineStr">
        <is>
          <t>Floors</t>
        </is>
      </c>
      <c r="C33" s="65" t="inlineStr">
        <is>
          <t>integer</t>
        </is>
      </c>
      <c r="D33" s="65" t="inlineStr">
        <is>
          <t>Yes</t>
        </is>
      </c>
      <c r="E33" s="66" t="inlineStr">
        <is>
          <t>Whole number &gt;= 0</t>
        </is>
      </c>
      <c r="F33" s="66" t="inlineStr">
        <is>
          <t>Storey count; detailed floors live on Floor Details</t>
        </is>
      </c>
      <c r="G33" s="66" t="inlineStr">
        <is>
          <t>2</t>
        </is>
      </c>
      <c r="H33" s="65" t="inlineStr">
        <is>
          <t>floors</t>
        </is>
      </c>
      <c r="I33" s="65" t="inlineStr">
        <is>
          <t>number</t>
        </is>
      </c>
    </row>
    <row r="34" ht="22" customHeight="1">
      <c r="A34" s="67" t="n">
        <v>30</v>
      </c>
      <c r="B34" s="68" t="inlineStr">
        <is>
          <t>Plot Area SqFt</t>
        </is>
      </c>
      <c r="C34" s="67" t="inlineStr">
        <is>
          <t>decimal</t>
        </is>
      </c>
      <c r="D34" s="67" t="inlineStr">
        <is>
          <t>Yes</t>
        </is>
      </c>
      <c r="E34" s="68" t="inlineStr">
        <is>
          <t>Number &gt;= 0</t>
        </is>
      </c>
      <c r="F34" s="68" t="inlineStr">
        <is>
          <t>Plot area in square feet</t>
        </is>
      </c>
      <c r="G34" s="68" t="inlineStr">
        <is>
          <t>1200.50</t>
        </is>
      </c>
      <c r="H34" s="67" t="inlineStr">
        <is>
          <t>plotAreaSqFt</t>
        </is>
      </c>
      <c r="I34" s="67" t="inlineStr">
        <is>
          <t>number</t>
        </is>
      </c>
    </row>
    <row r="35" ht="22" customHeight="1">
      <c r="A35" s="65" t="n">
        <v>31</v>
      </c>
      <c r="B35" s="66" t="inlineStr">
        <is>
          <t>Plinth Area SqFt</t>
        </is>
      </c>
      <c r="C35" s="65" t="inlineStr">
        <is>
          <t>decimal</t>
        </is>
      </c>
      <c r="D35" s="65" t="inlineStr">
        <is>
          <t>No</t>
        </is>
      </c>
      <c r="E35" s="66" t="inlineStr">
        <is>
          <t>Number &gt;= 0</t>
        </is>
      </c>
      <c r="F35" s="66" t="inlineStr">
        <is>
          <t>Plinth area in square feet</t>
        </is>
      </c>
      <c r="G35" s="66" t="inlineStr">
        <is>
          <t>980.25</t>
        </is>
      </c>
      <c r="H35" s="65" t="inlineStr">
        <is>
          <t>plinthAreaSqFt</t>
        </is>
      </c>
      <c r="I35" s="65" t="inlineStr">
        <is>
          <t>number</t>
        </is>
      </c>
    </row>
    <row r="36" ht="22" customHeight="1">
      <c r="A36" s="67" t="n">
        <v>32</v>
      </c>
      <c r="B36" s="68" t="inlineStr">
        <is>
          <t>Total Built Up Area SqFt</t>
        </is>
      </c>
      <c r="C36" s="67" t="inlineStr">
        <is>
          <t>decimal</t>
        </is>
      </c>
      <c r="D36" s="67" t="inlineStr">
        <is>
          <t>Yes</t>
        </is>
      </c>
      <c r="E36" s="68" t="inlineStr">
        <is>
          <t>Number &gt;= 0</t>
        </is>
      </c>
      <c r="F36" s="68" t="inlineStr">
        <is>
          <t>Total built-up area in square feet</t>
        </is>
      </c>
      <c r="G36" s="68" t="inlineStr">
        <is>
          <t>1760.75</t>
        </is>
      </c>
      <c r="H36" s="67" t="inlineStr">
        <is>
          <t>totalBuiltUpAreaSqFt</t>
        </is>
      </c>
      <c r="I36" s="67" t="inlineStr">
        <is>
          <t>number</t>
        </is>
      </c>
    </row>
    <row r="37" ht="22" customHeight="1">
      <c r="A37" s="65" t="n">
        <v>33</v>
      </c>
      <c r="B37" s="66" t="inlineStr">
        <is>
          <t>Is Municipal Water Supply</t>
        </is>
      </c>
      <c r="C37" s="65" t="inlineStr">
        <is>
          <t>enum</t>
        </is>
      </c>
      <c r="D37" s="65" t="inlineStr">
        <is>
          <t>Yes</t>
        </is>
      </c>
      <c r="E37" s="66" t="inlineStr">
        <is>
          <t>yes / no</t>
        </is>
      </c>
      <c r="F37" s="66" t="inlineStr">
        <is>
          <t>Municipal water availability</t>
        </is>
      </c>
      <c r="G37" s="66" t="inlineStr">
        <is>
          <t>yes</t>
        </is>
      </c>
      <c r="H37" s="65" t="inlineStr">
        <is>
          <t>isMunicipalWaterSupply</t>
        </is>
      </c>
      <c r="I37" s="65" t="inlineStr">
        <is>
          <t>string</t>
        </is>
      </c>
    </row>
    <row r="38" ht="22" customHeight="1">
      <c r="A38" s="67" t="n">
        <v>34</v>
      </c>
      <c r="B38" s="68" t="inlineStr">
        <is>
          <t>Total Water Connection</t>
        </is>
      </c>
      <c r="C38" s="67" t="inlineStr">
        <is>
          <t>integer</t>
        </is>
      </c>
      <c r="D38" s="67" t="inlineStr">
        <is>
          <t>No</t>
        </is>
      </c>
      <c r="E38" s="68" t="inlineStr">
        <is>
          <t>Whole number &gt;= 0</t>
        </is>
      </c>
      <c r="F38" s="68" t="inlineStr">
        <is>
          <t>Count of water connections</t>
        </is>
      </c>
      <c r="G38" s="68" t="inlineStr">
        <is>
          <t>1</t>
        </is>
      </c>
      <c r="H38" s="67" t="inlineStr">
        <is>
          <t>totalWaterConnection</t>
        </is>
      </c>
      <c r="I38" s="67" t="inlineStr">
        <is>
          <t>number</t>
        </is>
      </c>
    </row>
    <row r="39" ht="22" customHeight="1">
      <c r="A39" s="65" t="n">
        <v>35</v>
      </c>
      <c r="B39" s="66" t="inlineStr">
        <is>
          <t>Water Connection Id/Type</t>
        </is>
      </c>
      <c r="C39" s="65" t="inlineStr">
        <is>
          <t>enum</t>
        </is>
      </c>
      <c r="D39" s="65" t="inlineStr">
        <is>
          <t>No</t>
        </is>
      </c>
      <c r="E39" s="66" t="inlineStr">
        <is>
          <t>Dropdown</t>
        </is>
      </c>
      <c r="F39" s="66" t="inlineStr">
        <is>
          <t>Source / connection type (legacy mixed list)</t>
        </is>
      </c>
      <c r="G39" s="66" t="inlineStr">
        <is>
          <t>Government Tap</t>
        </is>
      </c>
      <c r="H39" s="65" t="inlineStr">
        <is>
          <t>waterConnectionIdType</t>
        </is>
      </c>
      <c r="I39" s="65" t="inlineStr">
        <is>
          <t>string</t>
        </is>
      </c>
    </row>
    <row r="40" ht="22" customHeight="1">
      <c r="A40" s="67" t="n">
        <v>36</v>
      </c>
      <c r="B40" s="68" t="inlineStr">
        <is>
          <t>Toilet Type</t>
        </is>
      </c>
      <c r="C40" s="67" t="inlineStr">
        <is>
          <t>enum</t>
        </is>
      </c>
      <c r="D40" s="67" t="inlineStr">
        <is>
          <t>No</t>
        </is>
      </c>
      <c r="E40" s="68" t="inlineStr">
        <is>
          <t>Dropdown</t>
        </is>
      </c>
      <c r="F40" s="68" t="inlineStr">
        <is>
          <t>Sanitation arrangement</t>
        </is>
      </c>
      <c r="G40" s="68" t="inlineStr">
        <is>
          <t>Sewer System</t>
        </is>
      </c>
      <c r="H40" s="67" t="inlineStr">
        <is>
          <t>toiletType</t>
        </is>
      </c>
      <c r="I40" s="67" t="inlineStr">
        <is>
          <t>string</t>
        </is>
      </c>
    </row>
    <row r="41" ht="22" customHeight="1">
      <c r="A41" s="65" t="n">
        <v>37</v>
      </c>
      <c r="B41" s="66" t="inlineStr">
        <is>
          <t>Is Municipal Waste Service</t>
        </is>
      </c>
      <c r="C41" s="65" t="inlineStr">
        <is>
          <t>enum</t>
        </is>
      </c>
      <c r="D41" s="65" t="inlineStr">
        <is>
          <t>Yes</t>
        </is>
      </c>
      <c r="E41" s="66" t="inlineStr">
        <is>
          <t>yes / no</t>
        </is>
      </c>
      <c r="F41" s="66" t="inlineStr">
        <is>
          <t>Door-to-door / municipal waste flag</t>
        </is>
      </c>
      <c r="G41" s="66" t="inlineStr">
        <is>
          <t>yes</t>
        </is>
      </c>
      <c r="H41" s="65" t="inlineStr">
        <is>
          <t>isMunicipalWasteService</t>
        </is>
      </c>
      <c r="I41" s="65" t="inlineStr">
        <is>
          <t>string</t>
        </is>
      </c>
    </row>
    <row r="42" ht="32" customHeight="1">
      <c r="A42" s="69" t="n">
        <v>38</v>
      </c>
      <c r="B42" s="70" t="inlineStr">
        <is>
          <t>Latitude</t>
        </is>
      </c>
      <c r="C42" s="69" t="inlineStr">
        <is>
          <t>decimal</t>
        </is>
      </c>
      <c r="D42" s="69" t="inlineStr">
        <is>
          <t>No</t>
        </is>
      </c>
      <c r="E42" s="70" t="inlineStr">
        <is>
          <t>Decimal -90 to 90, 6 dp</t>
        </is>
      </c>
      <c r="F42" s="70" t="inlineStr">
        <is>
          <t>GPS latitude captured by surveyor device</t>
        </is>
      </c>
      <c r="G42" s="70" t="inlineStr">
        <is>
          <t>27.558300</t>
        </is>
      </c>
      <c r="H42" s="69" t="inlineStr">
        <is>
          <t>latitude</t>
        </is>
      </c>
      <c r="I42" s="69" t="inlineStr">
        <is>
          <t>number</t>
        </is>
      </c>
    </row>
    <row r="43" ht="22" customHeight="1">
      <c r="A43" s="65" t="n">
        <v>39</v>
      </c>
      <c r="B43" s="66" t="inlineStr">
        <is>
          <t>Longitude</t>
        </is>
      </c>
      <c r="C43" s="65" t="inlineStr">
        <is>
          <t>decimal</t>
        </is>
      </c>
      <c r="D43" s="65" t="inlineStr">
        <is>
          <t>No</t>
        </is>
      </c>
      <c r="E43" s="66" t="inlineStr">
        <is>
          <t>Decimal -180 to 180, 6 dp</t>
        </is>
      </c>
      <c r="F43" s="66" t="inlineStr">
        <is>
          <t>GPS longitude captured by surveyor device</t>
        </is>
      </c>
      <c r="G43" s="66" t="inlineStr">
        <is>
          <t>78.662800</t>
        </is>
      </c>
      <c r="H43" s="65" t="inlineStr">
        <is>
          <t>longitude</t>
        </is>
      </c>
      <c r="I43" s="65" t="inlineStr">
        <is>
          <t>number</t>
        </is>
      </c>
    </row>
    <row r="44" ht="22" customHeight="1">
      <c r="A44" s="67" t="inlineStr">
        <is>
          <t>—</t>
        </is>
      </c>
      <c r="B44" s="68" t="inlineStr">
        <is>
          <t>Aadhaar Number (future / optional)</t>
        </is>
      </c>
      <c r="C44" s="67" t="inlineStr">
        <is>
          <t>text</t>
        </is>
      </c>
      <c r="D44" s="67" t="inlineStr">
        <is>
          <t>No</t>
        </is>
      </c>
      <c r="E44" s="68" t="inlineStr">
        <is>
          <t>12 digits if collected later</t>
        </is>
      </c>
      <c r="F44" s="68" t="inlineStr">
        <is>
          <t>NOT in the 37-column primary schema. If the application adds Aadhaar, validate 12 digits, store as text, never publish in sample workbooks, and keep it off exports by default.</t>
        </is>
      </c>
      <c r="G44" s="68" t="inlineStr">
        <is>
          <t>XXXXXXXX1234 (masked)</t>
        </is>
      </c>
      <c r="H44" s="67" t="inlineStr">
        <is>
          <t>aadhaarNumber</t>
        </is>
      </c>
      <c r="I44" s="67" t="inlineStr">
        <is>
          <t>string | null</t>
        </is>
      </c>
    </row>
  </sheetData>
  <autoFilter ref="A4:I44"/>
  <mergeCells count="2">
    <mergeCell ref="A1:I1"/>
    <mergeCell ref="A2:I2"/>
  </mergeCells>
  <pageMargins left="0.5" right="0.5" top="0.6" bottom="0.5" header="0.5" footer="0.5"/>
  <pageSetup orientation="landscape" fitToHeight="0" fitToWidth="1"/>
</worksheet>
</file>

<file path=xl/worksheets/sheet6.xml><?xml version="1.0" encoding="utf-8"?>
<worksheet xmlns="http://schemas.openxmlformats.org/spreadsheetml/2006/main">
  <sheetPr>
    <tabColor rgb="00148F77"/>
    <outlinePr summaryBelow="1" summaryRight="1"/>
    <pageSetUpPr fitToPage="1"/>
  </sheetPr>
  <dimension ref="A1:H16"/>
  <sheetViews>
    <sheetView showGridLines="0" workbookViewId="0">
      <pane ySplit="3" topLeftCell="A4" activePane="bottomLeft" state="frozen"/>
      <selection pane="bottomLeft" activeCell="A1" sqref="A1"/>
    </sheetView>
  </sheetViews>
  <sheetFormatPr baseColWidth="8" defaultRowHeight="15"/>
  <cols>
    <col width="8" customWidth="1" min="1" max="1"/>
    <col width="34" customWidth="1" min="2" max="2"/>
    <col width="18" customWidth="1" min="3" max="3"/>
    <col width="14" customWidth="1" min="4" max="4"/>
    <col width="14" customWidth="1" min="5" max="5"/>
    <col width="28" customWidth="1" min="6" max="6"/>
    <col width="18" customWidth="1" min="7" max="7"/>
    <col width="48" customWidth="1" min="8" max="8"/>
  </cols>
  <sheetData>
    <row r="1" ht="32" customHeight="1">
      <c r="A1" s="1" t="inlineStr">
        <is>
          <t>Reference | Floor Details</t>
        </is>
      </c>
    </row>
    <row r="2" ht="22" customHeight="1">
      <c r="A2" s="2" t="inlineStr">
        <is>
          <t>The primary Floors column is a storey count only. Detailed floor-wise area, usage and construction stay here so the 37-column import schema remains stable. Conversion: 1 SqMt = 10.7639104167 SqFt.</t>
        </is>
      </c>
    </row>
    <row r="4" ht="28" customHeight="1">
      <c r="A4" s="50" t="inlineStr">
        <is>
          <t>SN</t>
        </is>
      </c>
      <c r="B4" s="50" t="inlineStr">
        <is>
          <t>Property Id</t>
        </is>
      </c>
      <c r="C4" s="50" t="inlineStr">
        <is>
          <t>Floor Position</t>
        </is>
      </c>
      <c r="D4" s="50" t="inlineStr">
        <is>
          <t>Area SqFt</t>
        </is>
      </c>
      <c r="E4" s="50" t="inlineStr">
        <is>
          <t>Area SqMt</t>
        </is>
      </c>
      <c r="F4" s="50" t="inlineStr">
        <is>
          <t>Usage Type</t>
        </is>
      </c>
      <c r="G4" s="50" t="inlineStr">
        <is>
          <t>Usage Factor</t>
        </is>
      </c>
      <c r="H4" s="50" t="inlineStr">
        <is>
          <t>Construction Type</t>
        </is>
      </c>
    </row>
    <row r="5" ht="22" customHeight="1">
      <c r="A5" s="59" t="n">
        <v>1</v>
      </c>
      <c r="B5" s="71">
        <f>'Survey Data'!E5</f>
        <v/>
      </c>
      <c r="C5" s="71" t="inlineStr">
        <is>
          <t>Ground Floor</t>
        </is>
      </c>
      <c r="D5" s="72" t="n">
        <v>625</v>
      </c>
      <c r="E5" s="73">
        <f>ROUND(D5/10.7639104167,4)</f>
        <v/>
      </c>
      <c r="F5" s="71" t="inlineStr">
        <is>
          <t>Residential</t>
        </is>
      </c>
      <c r="G5" s="71" t="inlineStr">
        <is>
          <t>Self Occupied</t>
        </is>
      </c>
      <c r="H5" s="71" t="inlineStr">
        <is>
          <t>Pakka Building with R.C.C Roof or R.B. Roof</t>
        </is>
      </c>
    </row>
    <row r="6" ht="22" customHeight="1">
      <c r="A6" s="62" t="n">
        <v>1</v>
      </c>
      <c r="B6" s="74">
        <f>'Survey Data'!E5</f>
        <v/>
      </c>
      <c r="C6" s="74" t="inlineStr">
        <is>
          <t>First Floor</t>
        </is>
      </c>
      <c r="D6" s="75" t="n">
        <v>540</v>
      </c>
      <c r="E6" s="76">
        <f>ROUND(D6/10.7639104167,4)</f>
        <v/>
      </c>
      <c r="F6" s="74" t="inlineStr">
        <is>
          <t>Residential</t>
        </is>
      </c>
      <c r="G6" s="74" t="inlineStr">
        <is>
          <t>Self Occupied</t>
        </is>
      </c>
      <c r="H6" s="74" t="inlineStr">
        <is>
          <t>Pakka Building with R.C.C Roof or R.B. Roof</t>
        </is>
      </c>
    </row>
    <row r="7" ht="22" customHeight="1">
      <c r="A7" s="59" t="n">
        <v>2</v>
      </c>
      <c r="B7" s="71">
        <f>'Survey Data'!E6</f>
        <v/>
      </c>
      <c r="C7" s="71" t="inlineStr">
        <is>
          <t>Ground Floor</t>
        </is>
      </c>
      <c r="D7" s="72" t="n">
        <v>820.5</v>
      </c>
      <c r="E7" s="73">
        <f>ROUND(D7/10.7639104167,4)</f>
        <v/>
      </c>
      <c r="F7" s="71" t="inlineStr">
        <is>
          <t>Commercial</t>
        </is>
      </c>
      <c r="G7" s="71" t="inlineStr">
        <is>
          <t>Rented</t>
        </is>
      </c>
      <c r="H7" s="71" t="inlineStr">
        <is>
          <t>Pakka Building with R.C.C Roof or R.B. Roof</t>
        </is>
      </c>
    </row>
    <row r="8" ht="22" customHeight="1">
      <c r="A8" s="62" t="n">
        <v>3</v>
      </c>
      <c r="B8" s="74">
        <f>'Survey Data'!E7</f>
        <v/>
      </c>
      <c r="C8" s="74" t="inlineStr">
        <is>
          <t>Ground Floor</t>
        </is>
      </c>
      <c r="D8" s="75" t="n">
        <v>1100</v>
      </c>
      <c r="E8" s="76">
        <f>ROUND(D8/10.7639104167,4)</f>
        <v/>
      </c>
      <c r="F8" s="74" t="inlineStr">
        <is>
          <t>Residential</t>
        </is>
      </c>
      <c r="G8" s="74" t="inlineStr">
        <is>
          <t>Self Occupied</t>
        </is>
      </c>
      <c r="H8" s="74" t="inlineStr">
        <is>
          <t>Pakka Building with R.C.C Roof or R.B. Roof</t>
        </is>
      </c>
    </row>
    <row r="9" ht="22" customHeight="1">
      <c r="A9" s="59" t="n">
        <v>3</v>
      </c>
      <c r="B9" s="71">
        <f>'Survey Data'!E7</f>
        <v/>
      </c>
      <c r="C9" s="71" t="inlineStr">
        <is>
          <t>First Floor</t>
        </is>
      </c>
      <c r="D9" s="72" t="n">
        <v>900</v>
      </c>
      <c r="E9" s="73">
        <f>ROUND(D9/10.7639104167,4)</f>
        <v/>
      </c>
      <c r="F9" s="71" t="inlineStr">
        <is>
          <t>Commercial</t>
        </is>
      </c>
      <c r="G9" s="71" t="inlineStr">
        <is>
          <t>Rented</t>
        </is>
      </c>
      <c r="H9" s="71" t="inlineStr">
        <is>
          <t>Pakka Building with R.C.C Roof or R.B. Roof</t>
        </is>
      </c>
    </row>
    <row r="10" ht="22" customHeight="1">
      <c r="A10" s="62" t="n">
        <v>3</v>
      </c>
      <c r="B10" s="74">
        <f>'Survey Data'!E7</f>
        <v/>
      </c>
      <c r="C10" s="74" t="inlineStr">
        <is>
          <t>Second Floor</t>
        </is>
      </c>
      <c r="D10" s="75" t="n">
        <v>650.4</v>
      </c>
      <c r="E10" s="76">
        <f>ROUND(D10/10.7639104167,4)</f>
        <v/>
      </c>
      <c r="F10" s="74" t="inlineStr">
        <is>
          <t>Residential</t>
        </is>
      </c>
      <c r="G10" s="74" t="inlineStr">
        <is>
          <t>Self Occupied</t>
        </is>
      </c>
      <c r="H10" s="74" t="inlineStr">
        <is>
          <t>Pakka Building with R.C.C Roof or R.B. Roof</t>
        </is>
      </c>
    </row>
    <row r="11" ht="22" customHeight="1">
      <c r="A11" s="59" t="n">
        <v>11</v>
      </c>
      <c r="B11" s="71">
        <f>'Survey Data'!E15</f>
        <v/>
      </c>
      <c r="C11" s="71" t="inlineStr">
        <is>
          <t>Ground Floor</t>
        </is>
      </c>
      <c r="D11" s="72" t="n">
        <v>14000</v>
      </c>
      <c r="E11" s="73">
        <f>ROUND(D11/10.7639104167,4)</f>
        <v/>
      </c>
      <c r="F11" s="71" t="inlineStr">
        <is>
          <t>Hospital Nursing Pathology</t>
        </is>
      </c>
      <c r="G11" s="71" t="inlineStr">
        <is>
          <t>Self Occupied</t>
        </is>
      </c>
      <c r="H11" s="71" t="inlineStr">
        <is>
          <t>Pakka Building with R.C.C Roof or R.B. Roof</t>
        </is>
      </c>
    </row>
    <row r="12" ht="22" customHeight="1">
      <c r="A12" s="62" t="n">
        <v>11</v>
      </c>
      <c r="B12" s="74">
        <f>'Survey Data'!E15</f>
        <v/>
      </c>
      <c r="C12" s="74" t="inlineStr">
        <is>
          <t>First Floor</t>
        </is>
      </c>
      <c r="D12" s="75" t="n">
        <v>12000</v>
      </c>
      <c r="E12" s="76">
        <f>ROUND(D12/10.7639104167,4)</f>
        <v/>
      </c>
      <c r="F12" s="74" t="inlineStr">
        <is>
          <t>Hospital Nursing Pathology</t>
        </is>
      </c>
      <c r="G12" s="74" t="inlineStr">
        <is>
          <t>Self Occupied</t>
        </is>
      </c>
      <c r="H12" s="74" t="inlineStr">
        <is>
          <t>Pakka Building with R.C.C Roof or R.B. Roof</t>
        </is>
      </c>
    </row>
    <row r="13" ht="22" customHeight="1">
      <c r="A13" s="59" t="n">
        <v>11</v>
      </c>
      <c r="B13" s="71">
        <f>'Survey Data'!E15</f>
        <v/>
      </c>
      <c r="C13" s="71" t="inlineStr">
        <is>
          <t>Second Floor</t>
        </is>
      </c>
      <c r="D13" s="72" t="n">
        <v>6500</v>
      </c>
      <c r="E13" s="73">
        <f>ROUND(D13/10.7639104167,4)</f>
        <v/>
      </c>
      <c r="F13" s="71" t="inlineStr">
        <is>
          <t>Hospital Nursing Pathology</t>
        </is>
      </c>
      <c r="G13" s="71" t="inlineStr">
        <is>
          <t>Self Occupied</t>
        </is>
      </c>
      <c r="H13" s="71" t="inlineStr">
        <is>
          <t>Pakka Building with R.C.C Roof or R.B. Roof</t>
        </is>
      </c>
    </row>
    <row r="14" ht="22" customHeight="1">
      <c r="A14" s="62" t="n">
        <v>11</v>
      </c>
      <c r="B14" s="74">
        <f>'Survey Data'!E15</f>
        <v/>
      </c>
      <c r="C14" s="74" t="inlineStr">
        <is>
          <t>Third Floor</t>
        </is>
      </c>
      <c r="D14" s="75" t="n">
        <v>6000</v>
      </c>
      <c r="E14" s="76">
        <f>ROUND(D14/10.7639104167,4)</f>
        <v/>
      </c>
      <c r="F14" s="74" t="inlineStr">
        <is>
          <t>Hospital Nursing Pathology</t>
        </is>
      </c>
      <c r="G14" s="74" t="inlineStr">
        <is>
          <t>Self Occupied</t>
        </is>
      </c>
      <c r="H14" s="74" t="inlineStr">
        <is>
          <t>Pakka Building with R.C.C Roof or R.B. Roof</t>
        </is>
      </c>
    </row>
    <row r="16" ht="36" customHeight="1">
      <c r="A16" s="77" t="inlineStr">
        <is>
          <t>Legacy narrative example: Ground Floor - 625 SqFt - 58.0644 SqMt || Usage Type - Residential || Usage Factor - Self Occupied || Construction Type - Pakka Building with R.C.C Roof or R.B. Roof. Do not paste this narrative into the Floors column on Survey Data.</t>
        </is>
      </c>
    </row>
  </sheetData>
  <mergeCells count="3">
    <mergeCell ref="A16:H16"/>
    <mergeCell ref="A2:H2"/>
    <mergeCell ref="A1:H1"/>
  </mergeCells>
  <pageMargins left="0.5" right="0.5" top="0.6" bottom="0.5" header="0.5" footer="0.5"/>
  <pageSetup orientation="landscape" fitToHeight="0" fitToWidth="1"/>
</worksheet>
</file>

<file path=xl/worksheets/sheet7.xml><?xml version="1.0" encoding="utf-8"?>
<worksheet xmlns="http://schemas.openxmlformats.org/spreadsheetml/2006/main">
  <sheetPr>
    <tabColor rgb="001E40AF"/>
    <outlinePr summaryBelow="1" summaryRight="1"/>
    <pageSetUpPr fitToPage="1"/>
  </sheetPr>
  <dimension ref="A1:B18"/>
  <sheetViews>
    <sheetView showGridLines="0" workbookViewId="0">
      <pane ySplit="4" topLeftCell="A5" activePane="bottomLeft" state="frozen"/>
      <selection pane="bottomLeft" activeCell="A1" sqref="A1"/>
    </sheetView>
  </sheetViews>
  <sheetFormatPr baseColWidth="8" defaultRowHeight="15"/>
  <cols>
    <col width="36" customWidth="1" min="1" max="1"/>
    <col width="110" customWidth="1" min="2" max="2"/>
  </cols>
  <sheetData>
    <row r="1" ht="32" customHeight="1">
      <c r="A1" s="1" t="inlineStr">
        <is>
          <t>README | How to use this workbook</t>
        </is>
      </c>
    </row>
    <row r="2" ht="22" customHeight="1">
      <c r="A2" s="2" t="inlineStr">
        <is>
          <t>Data-entry / import template for the NestJS + Next.js municipal property survey application. No macros. No password.</t>
        </is>
      </c>
    </row>
    <row r="4">
      <c r="A4" s="78" t="inlineStr">
        <is>
          <t>Topic</t>
        </is>
      </c>
      <c r="B4" s="78" t="inlineStr">
        <is>
          <t>Guidance</t>
        </is>
      </c>
    </row>
    <row r="5" ht="64" customHeight="1">
      <c r="A5" s="79" t="inlineStr">
        <is>
          <t>How to enter data</t>
        </is>
      </c>
      <c r="B5" s="71" t="inlineStr">
        <is>
          <t>Use the Survey Data sheet only for the 39-column record (37 base + Longitude + Latitude). Start from the first empty row after the sample data. Dropdowns appear when you select a cell. Extra blank rows (65) are pre-created so you can type without inserting rows.</t>
        </is>
      </c>
    </row>
    <row r="6" ht="64" customHeight="1">
      <c r="A6" s="80" t="inlineStr">
        <is>
          <t>Which cells are protected</t>
        </is>
      </c>
      <c r="B6" s="74" t="inlineStr">
        <is>
          <t>SN (column A) and Property Id (column E) are locked because they are formulas. The sheet is protected with NO password — developers can Review → Unprotect Sheet. Status is NOT locked; it is a manual workflow dropdown for field entry. If the web application later owns Status, lock that column in the exporter.</t>
        </is>
      </c>
    </row>
    <row r="7" ht="64" customHeight="1">
      <c r="A7" s="79" t="inlineStr">
        <is>
          <t>How Property Id is generated</t>
        </is>
      </c>
      <c r="B7" s="71" t="inlineStr">
        <is>
          <t>Property Id = 800797-011-{Parcel No}-{old property Number}-{Property Type}. Example: 800797-011-125-4587-Residential. If Parcel No, old property Number, or Property Type is blank, the cell stays empty instead of emitting 800797-011---.</t>
        </is>
      </c>
    </row>
    <row r="8" ht="64" customHeight="1">
      <c r="A8" s="80" t="inlineStr">
        <is>
          <t>How SN is generated</t>
        </is>
      </c>
      <c r="B8" s="74" t="inlineStr">
        <is>
          <t>SN increments only for rows that have user-entered values. Completely empty template rows stay blank.</t>
        </is>
      </c>
    </row>
    <row r="9" ht="64" customHeight="1">
      <c r="A9" s="79" t="inlineStr">
        <is>
          <t>How dropdowns work</t>
        </is>
      </c>
      <c r="B9" s="71" t="inlineStr">
        <is>
          <t>Lists live on the hidden Validation Lists sheet and are exposed as named ranges (StatusOptions, PropertyTypeOptions, …). Do not type free-text into dropdown columns if you need a clean import.</t>
        </is>
      </c>
    </row>
    <row r="10" ht="64" customHeight="1">
      <c r="A10" s="80" t="inlineStr">
        <is>
          <t>How completion percentage works</t>
        </is>
      </c>
      <c r="B10" s="74" t="inlineStr">
        <is>
          <t>Survey Progress counts non-empty values among the 37 user-entered fields (39 total minus SN and Property Id). Completion % = Filled Fields / 37. Data bars visualise the ratio.</t>
        </is>
      </c>
    </row>
    <row r="11" ht="64" customHeight="1">
      <c r="A11" s="79" t="inlineStr">
        <is>
          <t>Which fields are controlled by the application</t>
        </is>
      </c>
      <c r="B11" s="71" t="inlineStr">
        <is>
          <t>In production, Property Id is also derived by @workspace/validation formatPropertyId (ULB-Ward-Parcel-Unit-Use). This template uses the requested 800797-011-parcel-oldNo-type pattern for Excel data entry. NestJS should treat Excel Property Id as a source value and re-derive on import when ULB/ward codes are known.</t>
        </is>
      </c>
    </row>
    <row r="12" ht="64" customHeight="1">
      <c r="A12" s="80" t="inlineStr">
        <is>
          <t>Mapping to NestJS / Next.js</t>
        </is>
      </c>
      <c r="B12" s="74" t="inlineStr">
        <is>
          <t>Keep column names and order unchanged. See Field Guide for Excel Column → camelCase DTO → type. The worker import path should map these headers onto the existing survey DTO. Do not add decorative symbols inside data values. Dates are real Excel datetimes.</t>
        </is>
      </c>
    </row>
    <row r="13" ht="64" customHeight="1">
      <c r="A13" s="79" t="inlineStr">
        <is>
          <t>Actions and progress</t>
        </is>
      </c>
      <c r="B13" s="71" t="inlineStr">
        <is>
          <t>Demand Notice / Print / View / Edit / Delete are documented on the Actions sheet. Implement them as Next.js buttons. Do not add VBA.</t>
        </is>
      </c>
    </row>
    <row r="14" ht="64" customHeight="1">
      <c r="A14" s="80" t="inlineStr">
        <is>
          <t>GPS columns (Longitude / Latitude)</t>
        </is>
      </c>
      <c r="B14" s="74" t="inlineStr">
        <is>
          <t>Columns 38–39 store the device GPS fix. Longitude is -180 to 180, Latitude is -90 to 90, both with 6 decimal places (Decimal(9,6) in Prisma). The surveyor mobile app auto-fills these; manual entry is allowed for corrections. Leave blank if GPS was unavailable.</t>
        </is>
      </c>
    </row>
    <row r="15" ht="64" customHeight="1">
      <c r="A15" s="79" t="inlineStr">
        <is>
          <t>Aadhaar</t>
        </is>
      </c>
      <c r="B15" s="71" t="inlineStr">
        <is>
          <t>Aadhaar Number is intentionally omitted from the 39-column schema. The Field Guide describes future 12-digit validation if the product adds it. Sample data contains no Aadhaar values.</t>
        </is>
      </c>
    </row>
    <row r="16" ht="64" customHeight="1">
      <c r="A16" s="80" t="inlineStr">
        <is>
          <t>Printing</t>
        </is>
      </c>
      <c r="B16" s="74" t="inlineStr">
        <is>
          <t>Survey Data prints landscape, fitted to 1 page wide, with the header row repeated. Hide unused columns before printing a ward extract if needed.</t>
        </is>
      </c>
    </row>
    <row r="17" ht="64" customHeight="1">
      <c r="A17" s="79" t="inlineStr">
        <is>
          <t>Visual grouping</t>
        </is>
      </c>
      <c r="B17" s="71" t="inlineStr">
        <is>
          <t>The 39-column order is fixed. Groups are shown as the colored band above the table (Survey / Workflow, Owner / Respondent, Address, Classification, Area, Utility, GPS / Location) with an accent border at each group start. Excel cannot outline adjacent groups without inserting spacer columns, so outline grouping is not used.</t>
        </is>
      </c>
    </row>
    <row r="18" ht="64" customHeight="1">
      <c r="A18" s="80" t="inlineStr">
        <is>
          <t>Unavoidable Excel limitations</t>
        </is>
      </c>
      <c r="B18" s="74" t="inlineStr">
        <is>
          <t>Excel is not a responsive web UI; wide surveys still need horizontal scrolling. Table auto-expansion of protection/validation on brand-new rows below the pre-created range may require Unprotect Sheet. Conditional formatting cannot draw a physical left-edge bar independently of cell fill, so status colour is a full-row tint plus a stronger Status cell. Named-range dropdowns on a hidden sheet work in Microsoft Excel; some third-party spreadsheet apps may ignore them.</t>
        </is>
      </c>
    </row>
  </sheetData>
  <mergeCells count="2">
    <mergeCell ref="A2:B2"/>
    <mergeCell ref="A1:B1"/>
  </mergeCells>
  <pageMargins left="0.5" right="0.5" top="0.6"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SDV EduTech Survey Platform</dc:creator>
  <dc:title>Municipal Property Tax Survey Data Template</dc:title>
  <dc:description>37-column municipal property survey template with validations, formulas, and NestJS DTO mapping.</dc:description>
  <dc:subject>survey_data_modern data-entry / import template</dc:subject>
  <dcterms:created xsi:type="dcterms:W3CDTF">2026-08-19T12:09:22Z</dcterms:created>
  <dcterms:modified xsi:type="dcterms:W3CDTF">2026-08-19T12:09:22Z</dcterms:modified>
  <cp:keywords>survey, municipal, property tax, nestjs, nextjs</cp:keywords>
</cp:coreProperties>
</file>